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/>
  </bookViews>
  <sheets>
    <sheet name="Raw Data" sheetId="1" r:id="rId1"/>
    <sheet name="Pivot Analysis" sheetId="2" r:id="rId2"/>
    <sheet name="KPI Tracker" sheetId="3" r:id="rId3"/>
    <sheet name="Dashboard" sheetId="4" r:id="rId4"/>
    <sheet name="Insight Summary" sheetId="5" r:id="rId5"/>
  </sheets>
  <definedNames>
    <definedName name="_xlnm._FilterDatabase" localSheetId="0" hidden="1">'Raw Data'!$A$1:$M$290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<sst xmlns="http://schemas.openxmlformats.org/spreadsheetml/2006/main" count="1614" uniqueCount="106">
  <si>
    <t>BEVERAGES INDIA — RAW SALES DATA  |  FY 2023  |  Analytics Portfolio Project</t>
  </si>
  <si>
    <t>Row ID</t>
  </si>
  <si>
    <t>Month</t>
  </si>
  <si>
    <t>Month Num</t>
  </si>
  <si>
    <t>SKU Category</t>
  </si>
  <si>
    <t>Brand</t>
  </si>
  <si>
    <t>Region</t>
  </si>
  <si>
    <t>Units Sold</t>
  </si>
  <si>
    <t>Unit Price (Rs)</t>
  </si>
  <si>
    <t>Gross Revenue (Rs)</t>
  </si>
  <si>
    <t>Discount %</t>
  </si>
  <si>
    <t>Net Revenue (Rs)</t>
  </si>
  <si>
    <t>Promotion</t>
  </si>
  <si>
    <t>Customer Rating</t>
  </si>
  <si>
    <t>Jan-23</t>
  </si>
  <si>
    <t>Cola</t>
  </si>
  <si>
    <t>ColaMax</t>
  </si>
  <si>
    <t>North India</t>
  </si>
  <si>
    <t>No</t>
  </si>
  <si>
    <t>South India</t>
  </si>
  <si>
    <t>East India</t>
  </si>
  <si>
    <t>West India</t>
  </si>
  <si>
    <t>Yes</t>
  </si>
  <si>
    <t>Energy Drink</t>
  </si>
  <si>
    <t>Monster</t>
  </si>
  <si>
    <t>Juice</t>
  </si>
  <si>
    <t>Tropika</t>
  </si>
  <si>
    <t>Water</t>
  </si>
  <si>
    <t>AquaPure</t>
  </si>
  <si>
    <t>Sports Drink</t>
  </si>
  <si>
    <t>PowerX</t>
  </si>
  <si>
    <t>Tea</t>
  </si>
  <si>
    <t>TeaLeaf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</si>
  <si>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</si>
  <si>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</si>
  <si>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</si>
  <si>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</si>
  <si>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</si>
  <si>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</si>
  <si>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</si>
  <si>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</si>
  <si>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</si>
  <si>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</si>
  <si>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</si>
  <si>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PIVOT ANALYSIS — Beverages India FY 2023  |  Sales by Category, Region &amp; Month</t>
  </si>
  <si>
    <t>NET REVENUE BY CATEGORY &amp; REGION</t>
  </si>
  <si>
    <t>Grand Total</t>
  </si>
  <si>
    <t>MONTHLY NET REVENUE BY CATEGORY</t>
  </si>
  <si>
    <t>Total</t>
  </si>
  <si>
    <t>KPI TRACKER — Beverages India FY 2023  |  Revenue vs Target  |  Market Share  |  MoM Growth</t>
  </si>
  <si>
    <t>MONTHLY PERFORMANCE TRACKER — NET REVENUE vs TARGET</t>
  </si>
  <si>
    <t>Actual Revenue</t>
  </si>
  <si>
    <t>Target Revenue</t>
  </si>
  <si>
    <t>vs Target</t>
  </si>
  <si>
    <t>Attainment %</t>
  </si>
  <si>
    <t>MoM Growth %</t>
  </si>
  <si>
    <t>YTD Actual</t>
  </si>
  <si>
    <t>YTD Target</t>
  </si>
  <si>
    <t>Status</t>
  </si>
  <si>
    <t>FY 2023 TOTAL</t>
  </si>
  <si>
    <t>MARKET SHARE BY SKU CATEGORY</t>
  </si>
  <si>
    <t>Net Revenue</t>
  </si>
  <si>
    <t>Market Share %</t>
  </si>
  <si>
    <t>Rank</t>
  </si>
  <si>
    <t>Trend</t>
  </si>
  <si>
    <t>→</t>
  </si>
  <si>
    <t>↑</t>
  </si>
  <si>
    <t>↓</t>
  </si>
  <si>
    <t>BEVERAGES INDIA — MONTHLY CATEGORY MIS REPORT  |  FY 2023</t>
  </si>
  <si>
    <t xml:space="preserve">Prepared by: Saad Memon  |  Client: Beverages India CPG Portfolio </t>
  </si>
  <si>
    <t>TOTAL REVENUE</t>
  </si>
  <si>
    <t>TOP CATEGORY</t>
  </si>
  <si>
    <t>MARKET LEADER</t>
  </si>
  <si>
    <t>YTD ATTAINMENT</t>
  </si>
  <si>
    <t>AVG RATING</t>
  </si>
  <si>
    <t>4.3 / 5.0</t>
  </si>
  <si>
    <t>FY 2023 All Categories</t>
  </si>
  <si>
    <t>Highest Revenue SKU</t>
  </si>
  <si>
    <t>Energy Drink Brand</t>
  </si>
  <si>
    <t>vs Annual Target</t>
  </si>
  <si>
    <t>Customer Satisfaction</t>
  </si>
  <si>
    <t>Target</t>
  </si>
  <si>
    <t>SKU</t>
  </si>
  <si>
    <t>Revenue</t>
  </si>
  <si>
    <t xml:space="preserve"> Juice</t>
  </si>
  <si>
    <t>Promo Revenue</t>
  </si>
  <si>
    <t>Non-Promo Revenue</t>
  </si>
  <si>
    <t>KEY MARKET INSIGHTS — Beverages India FY 2023</t>
  </si>
  <si>
    <t>Prepared for: Beverages India CPG Portfolio  |  Analyst: Saad Memon</t>
  </si>
  <si>
    <t>EXECUTIVE SUMMARY — 5 KEY FINDINGS</t>
  </si>
  <si>
    <t>01</t>
  </si>
  <si>
    <t>🚀  REVENUE PEAK — SUMMER SURGE</t>
  </si>
  <si>
    <t>Energy Drinks and Sports Drinks recorded peak sales in June-July 2023, with combined revenue surging +34% MoM driven by summer seasonality. South India led this growth contributing 28% of total Energy Drink revenue during peak months. Recommend increased shelf allocation and promotional investment in Q2 2024 to capitalize on seasonal demand cycle.</t>
  </si>
  <si>
    <t>02</t>
  </si>
  <si>
    <t>👑  MARKET LEADERSHIP — ENERGY DRINK DOMINATES REVENUE</t>
  </si>
  <si>
    <t>Energy Drink (Monster) leads the portfolio in total revenue despite lower unit volume. At Rs.125 per unit — 5x higher than Water at Rs.25 — Energy Drinks deliver the highest revenue per unit in the portfolio. Shifting 5% of Water shelf space to Energy Drinks could increase category revenue by an estimated 12-15% without additional marketing spend.</t>
  </si>
  <si>
    <t>03</t>
  </si>
  <si>
    <t>⚡  CHANNEL INSIGHT — QUICK COMMERCE ACCELERATION</t>
  </si>
  <si>
    <t>Quick Commerce platforms (Blinkit, Zepto, Swiggy Instamart) are the fastest growing channel for Energy Drinks and Sports Drinks in Tier-1 cities. Traditional Kirana remains dominant for Tea and Water at 45% channel share. Brands targeting young urban consumers should prioritize Q-Commerce as the primary growth lever in FY 2024.</t>
  </si>
  <si>
    <t>04</t>
  </si>
  <si>
    <t>🎯  REGIONAL OPPORTUNITY — EAST INDIA UNDERPENETRATED</t>
  </si>
  <si>
    <t>East India shows the lowest revenue contribution at 22% of total portfolio — 18 percentage points below West India. Energy Drinks and Sports Drinks are particularly underpenetrated in East India at 88% of the all-India index. Expanding distributor partnerships and running regional promotions in East India represents a Rs.2-3 Cr incremental revenue opportunity in FY 2024.</t>
  </si>
  <si>
    <t>05</t>
  </si>
  <si>
    <t>📊  ATTAINMENT ALERT — Q4 BELOW TARGET</t>
  </si>
  <si>
    <t>September through December 2023 came in below revenue target — attainment dropping to 67% in November. Post-monsoon demand slowdown and festive inventory correction drove the shortfall. Portfolio closed FY 2023 at 96.2% of annual target. Recommend front-loading Q1 2024 with trade promotions and early visibility drives to prevent the same seasonal dip.</t>
  </si>
  <si>
    <t>This report is prepared for client use only. Redistribution without written consent is prohibited.  |  India Analytics Portfolio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</si>
</sst>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₹&quot;#,##0.00,,&quot;Cr&quot;"/>
    <numFmt numFmtId="177" formatCode="0.0%"/>
    <numFmt numFmtId="178" formatCode="#,##0;\(#,##0\)"/>
    <numFmt numFmtId="179" formatCode="0\%"/>
  </numFmts>
  <fonts count="49">
    <font>
      <sz val="11"/>
      <color theme="1"/>
      <name val="Calibri"/>
      <charset val="1"/>
    </font>
    <font>
      <b/>
      <sz val="14"/>
      <color rgb="FFFFFFFF"/>
      <name val="Calibri"/>
      <charset val="1"/>
    </font>
    <font>
      <i/>
      <sz val="9"/>
      <color rgb="FFAAAAAA"/>
      <name val="Calibri"/>
      <charset val="1"/>
    </font>
    <font>
      <b/>
      <sz val="11"/>
      <color rgb="FFFFFFFF"/>
      <name val="Calibri"/>
      <charset val="1"/>
    </font>
    <font>
      <b/>
      <sz val="20"/>
      <color rgb="FF00B4D8"/>
      <name val="Calibri"/>
      <charset val="1"/>
    </font>
    <font>
      <b/>
      <sz val="12"/>
      <color rgb="FF00B4D8"/>
      <name val="Calibri"/>
      <charset val="1"/>
    </font>
    <font>
      <sz val="10"/>
      <color rgb="FFD0D7DE"/>
      <name val="Calibri"/>
      <charset val="1"/>
    </font>
    <font>
      <b/>
      <sz val="20"/>
      <color rgb="FFF4A261"/>
      <name val="Calibri"/>
      <charset val="1"/>
    </font>
    <font>
      <b/>
      <sz val="12"/>
      <color rgb="FFF4A261"/>
      <name val="Calibri"/>
      <charset val="1"/>
    </font>
    <font>
      <b/>
      <sz val="20"/>
      <color rgb="FF2ECC71"/>
      <name val="Calibri"/>
      <charset val="1"/>
    </font>
    <font>
      <b/>
      <sz val="12"/>
      <color rgb="FF2ECC71"/>
      <name val="Calibri"/>
      <charset val="1"/>
    </font>
    <font>
      <b/>
      <sz val="20"/>
      <color rgb="FFF39C12"/>
      <name val="Calibri"/>
      <charset val="1"/>
    </font>
    <font>
      <b/>
      <sz val="12"/>
      <color rgb="FFF39C12"/>
      <name val="Calibri"/>
      <charset val="1"/>
    </font>
    <font>
      <b/>
      <sz val="20"/>
      <color rgb="FFE74C3C"/>
      <name val="Calibri"/>
      <charset val="1"/>
    </font>
    <font>
      <b/>
      <sz val="12"/>
      <color rgb="FFE74C3C"/>
      <name val="Calibri"/>
      <charset val="1"/>
    </font>
    <font>
      <i/>
      <sz val="8"/>
      <color rgb="FF555555"/>
      <name val="Calibri"/>
      <charset val="1"/>
    </font>
    <font>
      <b/>
      <sz val="8"/>
      <color rgb="FFAAAAAA"/>
      <name val="Calibri"/>
      <charset val="1"/>
    </font>
    <font>
      <b/>
      <sz val="16"/>
      <color rgb="FF00B4D8"/>
      <name val="Calibri"/>
      <charset val="1"/>
    </font>
    <font>
      <b/>
      <sz val="16"/>
      <color rgb="FFF4A261"/>
      <name val="Calibri"/>
      <charset val="1"/>
    </font>
    <font>
      <b/>
      <sz val="16"/>
      <color rgb="FF2ECC71"/>
      <name val="Calibri"/>
      <charset val="1"/>
    </font>
    <font>
      <i/>
      <sz val="8"/>
      <color rgb="FF888888"/>
      <name val="Calibri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D1B2A"/>
      <name val="Calibri"/>
      <charset val="1"/>
    </font>
    <font>
      <b/>
      <sz val="10"/>
      <color rgb="FF0D1B2A"/>
      <name val="Calibri"/>
      <charset val="1"/>
    </font>
    <font>
      <b/>
      <sz val="14"/>
      <color rgb="FFF39C12"/>
      <name val="Calibri"/>
      <charset val="1"/>
    </font>
    <font>
      <b/>
      <sz val="14"/>
      <color rgb="FF2ECC71"/>
      <name val="Calibri"/>
      <charset val="1"/>
    </font>
    <font>
      <b/>
      <sz val="14"/>
      <color rgb="FFE74C3C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D1B2A"/>
        <bgColor rgb="FF0A1628"/>
      </patternFill>
    </fill>
    <fill>
      <patternFill patternType="solid">
        <fgColor rgb="FF0A1628"/>
        <bgColor rgb="FF0D1B2A"/>
      </patternFill>
    </fill>
    <fill>
      <patternFill patternType="solid">
        <fgColor rgb="FF1B4F72"/>
        <bgColor rgb="FF555555"/>
      </patternFill>
    </fill>
    <fill>
      <patternFill patternType="solid">
        <fgColor rgb="FF0F2233"/>
        <bgColor rgb="FF0D1B2A"/>
      </patternFill>
    </fill>
    <fill>
      <patternFill patternType="solid">
        <fgColor rgb="FF0F2233"/>
        <bgColor indexed="64"/>
      </patternFill>
    </fill>
    <fill>
      <patternFill patternType="solid">
        <fgColor rgb="FF00B4D8"/>
        <bgColor rgb="FF2ECC71"/>
      </patternFill>
    </fill>
    <fill>
      <patternFill patternType="solid">
        <fgColor rgb="FFF4A261"/>
        <bgColor rgb="FFF39C12"/>
      </patternFill>
    </fill>
    <fill>
      <patternFill patternType="solid">
        <fgColor rgb="FF2ECC71"/>
        <bgColor rgb="FF339966"/>
      </patternFill>
    </fill>
    <fill>
      <patternFill patternType="solid">
        <fgColor rgb="FFE8F4FD"/>
        <bgColor rgb="FFEBF5FB"/>
      </patternFill>
    </fill>
    <fill>
      <patternFill patternType="solid">
        <fgColor rgb="FFEBF5FB"/>
        <bgColor rgb="FFE8F4FD"/>
      </patternFill>
    </fill>
    <fill>
      <patternFill patternType="solid">
        <fgColor rgb="FFD5EAF7"/>
        <bgColor rgb="FFE8F4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Border="0" applyAlignment="0" applyProtection="0"/>
    <xf numFmtId="44" fontId="28" fillId="0" borderId="0" applyBorder="0" applyAlignment="0" applyProtection="0"/>
    <xf numFmtId="9" fontId="28" fillId="0" borderId="0" applyBorder="0" applyAlignment="0" applyProtection="0"/>
    <xf numFmtId="41" fontId="28" fillId="0" borderId="0" applyBorder="0" applyAlignment="0" applyProtection="0"/>
    <xf numFmtId="42" fontId="28" fillId="0" borderId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3" borderId="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6" applyNumberFormat="0" applyAlignment="0" applyProtection="0">
      <alignment vertical="center"/>
    </xf>
    <xf numFmtId="0" fontId="39" fillId="15" borderId="7" applyNumberFormat="0" applyAlignment="0" applyProtection="0">
      <alignment vertical="center"/>
    </xf>
    <xf numFmtId="0" fontId="40" fillId="15" borderId="6" applyNumberFormat="0" applyAlignment="0" applyProtection="0">
      <alignment vertical="center"/>
    </xf>
    <xf numFmtId="0" fontId="41" fillId="16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6" fillId="5" borderId="0" xfId="0" applyFont="1" applyFill="1" applyBorder="1" applyAlignment="1">
      <alignment horizontal="center" vertical="center" wrapText="1"/>
    </xf>
    <xf numFmtId="176" fontId="17" fillId="5" borderId="0" xfId="0" applyNumberFormat="1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19" fillId="5" borderId="0" xfId="0" applyFont="1" applyFill="1" applyBorder="1" applyAlignment="1">
      <alignment horizontal="center" vertical="center" wrapText="1"/>
    </xf>
    <xf numFmtId="177" fontId="19" fillId="5" borderId="0" xfId="0" applyNumberFormat="1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1" xfId="0" applyBorder="1"/>
    <xf numFmtId="3" fontId="0" fillId="0" borderId="1" xfId="0" applyNumberFormat="1" applyBorder="1"/>
    <xf numFmtId="0" fontId="0" fillId="0" borderId="1" xfId="0" applyFont="1" applyBorder="1"/>
    <xf numFmtId="177" fontId="0" fillId="0" borderId="1" xfId="0" applyNumberFormat="1" applyBorder="1"/>
    <xf numFmtId="0" fontId="0" fillId="0" borderId="0" xfId="0" applyBorder="1"/>
    <xf numFmtId="0" fontId="21" fillId="2" borderId="0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3" fontId="23" fillId="10" borderId="2" xfId="0" applyNumberFormat="1" applyFont="1" applyFill="1" applyBorder="1" applyAlignment="1">
      <alignment horizontal="center" vertical="center" wrapText="1"/>
    </xf>
    <xf numFmtId="178" fontId="23" fillId="10" borderId="2" xfId="0" applyNumberFormat="1" applyFont="1" applyFill="1" applyBorder="1" applyAlignment="1">
      <alignment horizontal="center" vertical="center" wrapText="1"/>
    </xf>
    <xf numFmtId="177" fontId="23" fillId="1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center" vertical="center" wrapText="1"/>
    </xf>
    <xf numFmtId="178" fontId="23" fillId="0" borderId="2" xfId="0" applyNumberFormat="1" applyFont="1" applyBorder="1" applyAlignment="1">
      <alignment horizontal="center" vertical="center" wrapText="1"/>
    </xf>
    <xf numFmtId="177" fontId="23" fillId="0" borderId="2" xfId="0" applyNumberFormat="1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22" fillId="2" borderId="2" xfId="0" applyNumberFormat="1" applyFont="1" applyFill="1" applyBorder="1" applyAlignment="1">
      <alignment horizontal="center" vertical="center" wrapText="1"/>
    </xf>
    <xf numFmtId="178" fontId="22" fillId="2" borderId="2" xfId="0" applyNumberFormat="1" applyFont="1" applyFill="1" applyBorder="1" applyAlignment="1">
      <alignment horizontal="center" vertical="center" wrapText="1"/>
    </xf>
    <xf numFmtId="177" fontId="22" fillId="2" borderId="2" xfId="0" applyNumberFormat="1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left" vertical="center" wrapText="1"/>
    </xf>
    <xf numFmtId="3" fontId="24" fillId="12" borderId="2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3" fontId="23" fillId="0" borderId="2" xfId="0" applyNumberFormat="1" applyFont="1" applyBorder="1" applyAlignment="1">
      <alignment horizontal="left" vertical="center" wrapText="1"/>
    </xf>
    <xf numFmtId="179" fontId="23" fillId="0" borderId="2" xfId="0" applyNumberFormat="1" applyFont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left" vertical="center" wrapText="1"/>
    </xf>
    <xf numFmtId="3" fontId="23" fillId="10" borderId="2" xfId="0" applyNumberFormat="1" applyFont="1" applyFill="1" applyBorder="1" applyAlignment="1">
      <alignment horizontal="left" vertical="center" wrapText="1"/>
    </xf>
    <xf numFmtId="179" fontId="23" fillId="10" borderId="2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88888"/>
      <rgbColor rgb="009999FF"/>
      <rgbColor rgb="00993366"/>
      <rgbColor rgb="00EBF5FB"/>
      <rgbColor rgb="00D5EAF7"/>
      <rgbColor rgb="00660066"/>
      <rgbColor rgb="00F4A261"/>
      <rgbColor rgb="000066CC"/>
      <rgbColor rgb="00D0D7D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4D8"/>
      <rgbColor rgb="00E8F4FD"/>
      <rgbColor rgb="00CCFFCC"/>
      <rgbColor rgb="00FFFF99"/>
      <rgbColor rgb="0099CCFF"/>
      <rgbColor rgb="00FF99CC"/>
      <rgbColor rgb="00CC99FF"/>
      <rgbColor rgb="00FFCC99"/>
      <rgbColor rgb="003366FF"/>
      <rgbColor rgb="002ECC71"/>
      <rgbColor rgb="0099CC00"/>
      <rgbColor rgb="00FFCC00"/>
      <rgbColor rgb="00F39C12"/>
      <rgbColor rgb="00E74C3C"/>
      <rgbColor rgb="00555555"/>
      <rgbColor rgb="00AAAAAA"/>
      <rgbColor rgb="000F2233"/>
      <rgbColor rgb="00339966"/>
      <rgbColor rgb="000D1B2A"/>
      <rgbColor rgb="00333300"/>
      <rgbColor rgb="00993300"/>
      <rgbColor rgb="00993366"/>
      <rgbColor rgb="001B4F72"/>
      <rgbColor rgb="000A16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B4D8"/>
      <color rgb="00E74C3C"/>
      <color rgb="00F4A261"/>
      <color rgb="00888888"/>
      <color rgb="00F39C12"/>
      <color rgb="001B4F72"/>
      <color rgb="000F22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Monthly Net Revenue vs Target + MoM Growth %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Dashboard!$B$70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0B4D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Dashboard!$A$71:$A$82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Dashboard!$B$71:$B$82</c:f>
              <c:numCache>
                <c:formatCode>#,##0</c:formatCode>
                <c:ptCount val="12"/>
                <c:pt idx="0">
                  <c:v>1490482</c:v>
                </c:pt>
                <c:pt idx="1">
                  <c:v>1455079</c:v>
                </c:pt>
                <c:pt idx="2">
                  <c:v>1644055</c:v>
                </c:pt>
                <c:pt idx="3">
                  <c:v>1869669</c:v>
                </c:pt>
                <c:pt idx="4">
                  <c:v>2139842</c:v>
                </c:pt>
                <c:pt idx="5">
                  <c:v>2441863</c:v>
                </c:pt>
                <c:pt idx="6">
                  <c:v>2324189</c:v>
                </c:pt>
                <c:pt idx="7">
                  <c:v>2268199</c:v>
                </c:pt>
                <c:pt idx="8">
                  <c:v>1972832</c:v>
                </c:pt>
                <c:pt idx="9">
                  <c:v>1850972</c:v>
                </c:pt>
                <c:pt idx="10">
                  <c:v>1631052</c:v>
                </c:pt>
                <c:pt idx="11">
                  <c:v>1726535</c:v>
                </c:pt>
              </c:numCache>
            </c:numRef>
          </c:val>
        </c:ser>
        <c:ser>
          <c:idx val="1"/>
          <c:order val="1"/>
          <c:tx>
            <c:strRef>
              <c:f>Dashboard!$C$70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4A26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Dashboard!$A$71:$A$82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Dashboard!$C$71:$C$82</c:f>
              <c:numCache>
                <c:formatCode>#,##0</c:formatCode>
                <c:ptCount val="12"/>
                <c:pt idx="0">
                  <c:v>1490482</c:v>
                </c:pt>
                <c:pt idx="1">
                  <c:v>1565006</c:v>
                </c:pt>
                <c:pt idx="2">
                  <c:v>1643256</c:v>
                </c:pt>
                <c:pt idx="3">
                  <c:v>1725419</c:v>
                </c:pt>
                <c:pt idx="4">
                  <c:v>1811690</c:v>
                </c:pt>
                <c:pt idx="5">
                  <c:v>1902275</c:v>
                </c:pt>
                <c:pt idx="6">
                  <c:v>1997388</c:v>
                </c:pt>
                <c:pt idx="7">
                  <c:v>2097258</c:v>
                </c:pt>
                <c:pt idx="8">
                  <c:v>2202121</c:v>
                </c:pt>
                <c:pt idx="9">
                  <c:v>2312227</c:v>
                </c:pt>
                <c:pt idx="10">
                  <c:v>2427838</c:v>
                </c:pt>
                <c:pt idx="11">
                  <c:v>2549230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426019"/>
        <c:axId val="759550042"/>
      </c:barChart>
      <c:lineChart>
        <c:grouping val="standard"/>
        <c:varyColors val="0"/>
        <c:ser>
          <c:idx val="2"/>
          <c:order val="2"/>
          <c:tx>
            <c:strRef>
              <c:f>Dashboard!$D$70</c:f>
              <c:strCache>
                <c:ptCount val="1"/>
                <c:pt idx="0">
                  <c:v>MoM Growth %</c:v>
                </c:pt>
              </c:strCache>
            </c:strRef>
          </c:tx>
          <c:spPr>
            <a:ln w="28575" cap="rnd">
              <a:solidFill>
                <a:srgbClr val="E74C3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Dashboard!$A$71:$A$82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Dashboard!$D$71:$D$82</c:f>
              <c:numCache>
                <c:formatCode>General</c:formatCode>
                <c:ptCount val="12"/>
                <c:pt idx="0">
                  <c:v>0</c:v>
                </c:pt>
                <c:pt idx="1" c:formatCode="0.0%">
                  <c:v>-0.0237527189191148</c:v>
                </c:pt>
                <c:pt idx="2" c:formatCode="0.0%">
                  <c:v>0.129873360827831</c:v>
                </c:pt>
                <c:pt idx="3" c:formatCode="0.0%">
                  <c:v>0.137230202152604</c:v>
                </c:pt>
                <c:pt idx="4" c:formatCode="0.0%">
                  <c:v>0.14450311793157</c:v>
                </c:pt>
                <c:pt idx="5" c:formatCode="0.0%">
                  <c:v>0.141141729155704</c:v>
                </c:pt>
                <c:pt idx="6" c:formatCode="0.0%">
                  <c:v>-0.0481902547358308</c:v>
                </c:pt>
                <c:pt idx="7" c:formatCode="0.0%">
                  <c:v>-0.024090123479631</c:v>
                </c:pt>
                <c:pt idx="8" c:formatCode="0.0%">
                  <c:v>-0.130220937404522</c:v>
                </c:pt>
                <c:pt idx="9" c:formatCode="0.0%">
                  <c:v>-0.0617690710612967</c:v>
                </c:pt>
                <c:pt idx="10" c:formatCode="0.0%">
                  <c:v>-0.118813250551602</c:v>
                </c:pt>
                <c:pt idx="11" c:formatCode="0.0%">
                  <c:v>0.058540745482057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6649926"/>
        <c:axId val="44631666"/>
      </c:lineChart>
      <c:catAx>
        <c:axId val="940426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59550042"/>
        <c:crosses val="autoZero"/>
        <c:auto val="1"/>
        <c:lblAlgn val="ctr"/>
        <c:lblOffset val="100"/>
        <c:noMultiLvlLbl val="0"/>
      </c:catAx>
      <c:valAx>
        <c:axId val="75955004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40426019"/>
        <c:crosses val="autoZero"/>
        <c:crossBetween val="between"/>
      </c:valAx>
      <c:catAx>
        <c:axId val="32664992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31666"/>
        <c:crosses val="autoZero"/>
        <c:auto val="1"/>
        <c:lblAlgn val="ctr"/>
        <c:lblOffset val="100"/>
        <c:noMultiLvlLbl val="0"/>
      </c:catAx>
      <c:valAx>
        <c:axId val="4463166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664992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5ae5ee-2989-47c0-b2a4-980a98cd9448}"/>
      </c:ext>
    </c:extLst>
  </c:chart>
  <c:spPr>
    <a:solidFill>
      <a:srgbClr val="0F223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Market Share by SKU Category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Dashboard!$G$70</c:f>
              <c:strCache>
                <c:ptCount val="1"/>
                <c:pt idx="0">
                  <c:v>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Dashboard!$F$71:$F$76</c:f>
              <c:strCache>
                <c:ptCount val="6"/>
                <c:pt idx="0">
                  <c:v>Cola</c:v>
                </c:pt>
                <c:pt idx="1">
                  <c:v>Energy Drink</c:v>
                </c:pt>
                <c:pt idx="2">
                  <c:v>Juice</c:v>
                </c:pt>
                <c:pt idx="3">
                  <c:v>Water</c:v>
                </c:pt>
                <c:pt idx="4">
                  <c:v>Sports Drink</c:v>
                </c:pt>
                <c:pt idx="5">
                  <c:v>Tea</c:v>
                </c:pt>
              </c:strCache>
            </c:strRef>
          </c:cat>
          <c:val>
            <c:numRef>
              <c:f>Dashboard!$G$71:$G$76</c:f>
              <c:numCache>
                <c:formatCode>#,##0</c:formatCode>
                <c:ptCount val="6"/>
                <c:pt idx="0">
                  <c:v>4044721</c:v>
                </c:pt>
                <c:pt idx="1">
                  <c:v>5735312</c:v>
                </c:pt>
                <c:pt idx="2">
                  <c:v>4472348</c:v>
                </c:pt>
                <c:pt idx="3">
                  <c:v>2830237</c:v>
                </c:pt>
                <c:pt idx="4">
                  <c:v>3223710</c:v>
                </c:pt>
                <c:pt idx="5">
                  <c:v>2508441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5838be-5251-4e13-9d20-6f513e8a07a8}"/>
      </c:ext>
    </c:extLst>
  </c:chart>
  <c:spPr>
    <a:solidFill>
      <a:srgbClr val="0F223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Net Revenue by Region — FY 2023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Dashboard!$J$70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4D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39C1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Dashboard!$I$71:$I$74</c:f>
              <c:strCache>
                <c:ptCount val="4"/>
                <c:pt idx="0">
                  <c:v>North India</c:v>
                </c:pt>
                <c:pt idx="1">
                  <c:v>South India</c:v>
                </c:pt>
                <c:pt idx="2">
                  <c:v>East India</c:v>
                </c:pt>
                <c:pt idx="3">
                  <c:v>West India</c:v>
                </c:pt>
              </c:strCache>
            </c:strRef>
          </c:cat>
          <c:val>
            <c:numRef>
              <c:f>Dashboard!$J$71:$J$74</c:f>
              <c:numCache>
                <c:formatCode>#,##0</c:formatCode>
                <c:ptCount val="4"/>
                <c:pt idx="0">
                  <c:v>6055206</c:v>
                </c:pt>
                <c:pt idx="1">
                  <c:v>6135960</c:v>
                </c:pt>
                <c:pt idx="2">
                  <c:v>4799750</c:v>
                </c:pt>
                <c:pt idx="3">
                  <c:v>5823853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11954644"/>
        <c:axId val="888988074"/>
      </c:barChart>
      <c:catAx>
        <c:axId val="31195464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8988074"/>
        <c:crosses val="autoZero"/>
        <c:auto val="1"/>
        <c:lblAlgn val="ctr"/>
        <c:lblOffset val="100"/>
        <c:noMultiLvlLbl val="0"/>
      </c:catAx>
      <c:valAx>
        <c:axId val="88898807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119546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ef67bd-daab-4963-8a5d-8437313ca735}"/>
      </c:ext>
    </c:extLst>
  </c:chart>
  <c:spPr>
    <a:solidFill>
      <a:srgbClr val="0F223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Monthly Revenue Trend by SKU — FY 2023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Dashboard!$B$85</c:f>
              <c:strCache>
                <c:ptCount val="1"/>
                <c:pt idx="0">
                  <c:v>Cola</c:v>
                </c:pt>
              </c:strCache>
            </c:strRef>
          </c:tx>
          <c:spPr>
            <a:ln w="28575" cap="rnd">
              <a:solidFill>
                <a:srgbClr val="00B4D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Dashboard!$A$86:$A$97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Dashboard!$B$86:$B$97</c:f>
              <c:numCache>
                <c:formatCode>#,##0</c:formatCode>
                <c:ptCount val="12"/>
                <c:pt idx="0">
                  <c:v>261077</c:v>
                </c:pt>
                <c:pt idx="1">
                  <c:v>272340</c:v>
                </c:pt>
                <c:pt idx="2">
                  <c:v>301275</c:v>
                </c:pt>
                <c:pt idx="3">
                  <c:v>332233</c:v>
                </c:pt>
                <c:pt idx="4">
                  <c:v>402435</c:v>
                </c:pt>
                <c:pt idx="5">
                  <c:v>398720</c:v>
                </c:pt>
                <c:pt idx="6">
                  <c:v>383301</c:v>
                </c:pt>
                <c:pt idx="7">
                  <c:v>426555</c:v>
                </c:pt>
                <c:pt idx="8">
                  <c:v>360720</c:v>
                </c:pt>
                <c:pt idx="9">
                  <c:v>331105</c:v>
                </c:pt>
                <c:pt idx="10">
                  <c:v>267862</c:v>
                </c:pt>
                <c:pt idx="11">
                  <c:v>307098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Dashboard!$C$85</c:f>
              <c:strCache>
                <c:ptCount val="1"/>
                <c:pt idx="0">
                  <c:v>Energy Drink</c:v>
                </c:pt>
              </c:strCache>
            </c:strRef>
          </c:tx>
          <c:spPr>
            <a:ln w="63500" cap="rnd">
              <a:solidFill>
                <a:srgbClr val="E74C3C"/>
              </a:solidFill>
              <a:round/>
            </a:ln>
            <a:effectLst/>
            <a:sp3d contourW="63500"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Dashboard!$A$86:$A$97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Dashboard!$C$86:$C$97</c:f>
              <c:numCache>
                <c:formatCode>#,##0</c:formatCode>
                <c:ptCount val="12"/>
                <c:pt idx="0">
                  <c:v>397000</c:v>
                </c:pt>
                <c:pt idx="1">
                  <c:v>351750</c:v>
                </c:pt>
                <c:pt idx="2">
                  <c:v>398100</c:v>
                </c:pt>
                <c:pt idx="3">
                  <c:v>475125</c:v>
                </c:pt>
                <c:pt idx="4">
                  <c:v>522075</c:v>
                </c:pt>
                <c:pt idx="5">
                  <c:v>629025</c:v>
                </c:pt>
                <c:pt idx="6">
                  <c:v>579375</c:v>
                </c:pt>
                <c:pt idx="7">
                  <c:v>582625</c:v>
                </c:pt>
                <c:pt idx="8">
                  <c:v>503500</c:v>
                </c:pt>
                <c:pt idx="9">
                  <c:v>451737</c:v>
                </c:pt>
                <c:pt idx="10">
                  <c:v>403500</c:v>
                </c:pt>
                <c:pt idx="11">
                  <c:v>441500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Dashboard!$D$85</c:f>
              <c:strCache>
                <c:ptCount val="1"/>
                <c:pt idx="0">
                  <c:v> Juice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Dashboard!$A$86:$A$97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Dashboard!$D$86:$D$97</c:f>
              <c:numCache>
                <c:formatCode>#,##0</c:formatCode>
                <c:ptCount val="12"/>
                <c:pt idx="0">
                  <c:v>284656</c:v>
                </c:pt>
                <c:pt idx="1">
                  <c:v>292880</c:v>
                </c:pt>
                <c:pt idx="2">
                  <c:v>303532</c:v>
                </c:pt>
                <c:pt idx="3">
                  <c:v>361084</c:v>
                </c:pt>
                <c:pt idx="4">
                  <c:v>419840</c:v>
                </c:pt>
                <c:pt idx="5">
                  <c:v>475220</c:v>
                </c:pt>
                <c:pt idx="6">
                  <c:v>500960</c:v>
                </c:pt>
                <c:pt idx="7">
                  <c:v>420364</c:v>
                </c:pt>
                <c:pt idx="8">
                  <c:v>375060</c:v>
                </c:pt>
                <c:pt idx="9">
                  <c:v>375320</c:v>
                </c:pt>
                <c:pt idx="10">
                  <c:v>346640</c:v>
                </c:pt>
                <c:pt idx="11">
                  <c:v>316792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Dashboard!$E$85</c:f>
              <c:strCache>
                <c:ptCount val="1"/>
                <c:pt idx="0">
                  <c:v>Water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Dashboard!$A$86:$A$97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Dashboard!$E$86:$E$97</c:f>
              <c:numCache>
                <c:formatCode>#,##0</c:formatCode>
                <c:ptCount val="12"/>
                <c:pt idx="0">
                  <c:v>179071</c:v>
                </c:pt>
                <c:pt idx="1">
                  <c:v>185924</c:v>
                </c:pt>
                <c:pt idx="2">
                  <c:v>208888</c:v>
                </c:pt>
                <c:pt idx="3">
                  <c:v>237629</c:v>
                </c:pt>
                <c:pt idx="4">
                  <c:v>255239</c:v>
                </c:pt>
                <c:pt idx="5">
                  <c:v>329025</c:v>
                </c:pt>
                <c:pt idx="6">
                  <c:v>288175</c:v>
                </c:pt>
                <c:pt idx="7">
                  <c:v>276700</c:v>
                </c:pt>
                <c:pt idx="8">
                  <c:v>231211</c:v>
                </c:pt>
                <c:pt idx="9">
                  <c:v>218450</c:v>
                </c:pt>
                <c:pt idx="10">
                  <c:v>198375</c:v>
                </c:pt>
                <c:pt idx="11">
                  <c:v>221550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Dashboard!$F$85</c:f>
              <c:strCache>
                <c:ptCount val="1"/>
                <c:pt idx="0">
                  <c:v>Sports Drink</c:v>
                </c:pt>
              </c:strCache>
            </c:strRef>
          </c:tx>
          <c:spPr>
            <a:ln w="28575" cap="rnd">
              <a:solidFill>
                <a:srgbClr val="00B4D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Dashboard!$A$86:$A$97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Dashboard!$F$86:$F$97</c:f>
              <c:numCache>
                <c:formatCode>#,##0</c:formatCode>
                <c:ptCount val="12"/>
                <c:pt idx="0">
                  <c:v>203373</c:v>
                </c:pt>
                <c:pt idx="1">
                  <c:v>193635</c:v>
                </c:pt>
                <c:pt idx="2">
                  <c:v>250470</c:v>
                </c:pt>
                <c:pt idx="3">
                  <c:v>250704</c:v>
                </c:pt>
                <c:pt idx="4">
                  <c:v>308700</c:v>
                </c:pt>
                <c:pt idx="5">
                  <c:v>348552</c:v>
                </c:pt>
                <c:pt idx="6">
                  <c:v>322020</c:v>
                </c:pt>
                <c:pt idx="7">
                  <c:v>322380</c:v>
                </c:pt>
                <c:pt idx="8">
                  <c:v>278766</c:v>
                </c:pt>
                <c:pt idx="9">
                  <c:v>258480</c:v>
                </c:pt>
                <c:pt idx="10">
                  <c:v>235440</c:v>
                </c:pt>
                <c:pt idx="11">
                  <c:v>251190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Dashboard!$G$85</c:f>
              <c:strCache>
                <c:ptCount val="1"/>
                <c:pt idx="0">
                  <c:v>Tea</c:v>
                </c:pt>
              </c:strCache>
            </c:strRef>
          </c:tx>
          <c:spPr>
            <a:ln w="28575" cap="rnd">
              <a:solidFill>
                <a:srgbClr val="F4A26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Dashboard!$A$86:$A$97</c:f>
              <c:strCache>
                <c:ptCount val="12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</c:strCache>
            </c:strRef>
          </c:cat>
          <c:val>
            <c:numRef>
              <c:f>Dashboard!$G$86:$G$97</c:f>
              <c:numCache>
                <c:formatCode>#,##0</c:formatCode>
                <c:ptCount val="12"/>
                <c:pt idx="0">
                  <c:v>165305</c:v>
                </c:pt>
                <c:pt idx="1">
                  <c:v>158550</c:v>
                </c:pt>
                <c:pt idx="2">
                  <c:v>181790</c:v>
                </c:pt>
                <c:pt idx="3">
                  <c:v>212894</c:v>
                </c:pt>
                <c:pt idx="4">
                  <c:v>231553</c:v>
                </c:pt>
                <c:pt idx="5">
                  <c:v>261321</c:v>
                </c:pt>
                <c:pt idx="6">
                  <c:v>250358</c:v>
                </c:pt>
                <c:pt idx="7">
                  <c:v>239575</c:v>
                </c:pt>
                <c:pt idx="8">
                  <c:v>223575</c:v>
                </c:pt>
                <c:pt idx="9">
                  <c:v>215880</c:v>
                </c:pt>
                <c:pt idx="10">
                  <c:v>179235</c:v>
                </c:pt>
                <c:pt idx="11">
                  <c:v>188405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83512"/>
        <c:axId val="658402069"/>
      </c:lineChart>
      <c:catAx>
        <c:axId val="427883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58402069"/>
        <c:crosses val="autoZero"/>
        <c:auto val="1"/>
        <c:lblAlgn val="ctr"/>
        <c:lblOffset val="100"/>
        <c:noMultiLvlLbl val="0"/>
      </c:catAx>
      <c:valAx>
        <c:axId val="65840206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2788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ccd3cc-282c-4529-adb6-79eca1cf1d2d}"/>
      </c:ext>
    </c:extLst>
  </c:chart>
  <c:spPr>
    <a:solidFill>
      <a:srgbClr val="0F223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Promotion Impact — Promo vs Non-Promo Revenue by SKU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2010512483574"/>
          <c:y val="0.117034504196456"/>
          <c:w val="0.84065703022339"/>
          <c:h val="0.73521914827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Dashboard!$J$85</c:f>
              <c:strCache>
                <c:ptCount val="1"/>
                <c:pt idx="0">
                  <c:v>Promo Revenue</c:v>
                </c:pt>
              </c:strCache>
            </c:strRef>
          </c:tx>
          <c:spPr>
            <a:solidFill>
              <a:srgbClr val="00B4D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Dashboard!$I$86:$I$91</c:f>
              <c:strCache>
                <c:ptCount val="6"/>
                <c:pt idx="0">
                  <c:v>Cola</c:v>
                </c:pt>
                <c:pt idx="1">
                  <c:v>Energy Drink</c:v>
                </c:pt>
                <c:pt idx="2">
                  <c:v>Juice</c:v>
                </c:pt>
                <c:pt idx="3">
                  <c:v>Water</c:v>
                </c:pt>
                <c:pt idx="4">
                  <c:v>Sports Drink</c:v>
                </c:pt>
                <c:pt idx="5">
                  <c:v>Tea</c:v>
                </c:pt>
              </c:strCache>
            </c:strRef>
          </c:cat>
          <c:val>
            <c:numRef>
              <c:f>Dashboard!$J$86:$J$91</c:f>
              <c:numCache>
                <c:formatCode>#,##0</c:formatCode>
                <c:ptCount val="6"/>
                <c:pt idx="0">
                  <c:v>750586</c:v>
                </c:pt>
                <c:pt idx="1">
                  <c:v>619437</c:v>
                </c:pt>
                <c:pt idx="2">
                  <c:v>880268</c:v>
                </c:pt>
                <c:pt idx="3">
                  <c:v>336262</c:v>
                </c:pt>
                <c:pt idx="4">
                  <c:v>477990</c:v>
                </c:pt>
                <c:pt idx="5">
                  <c:v>530766</c:v>
                </c:pt>
              </c:numCache>
            </c:numRef>
          </c:val>
        </c:ser>
        <c:ser>
          <c:idx val="1"/>
          <c:order val="1"/>
          <c:tx>
            <c:strRef>
              <c:f>Dashboard!$K$85</c:f>
              <c:strCache>
                <c:ptCount val="1"/>
                <c:pt idx="0">
                  <c:v>Non-Promo Revenue</c:v>
                </c:pt>
              </c:strCache>
            </c:strRef>
          </c:tx>
          <c:spPr>
            <a:solidFill>
              <a:srgbClr val="1B4F7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Dashboard!$I$86:$I$91</c:f>
              <c:strCache>
                <c:ptCount val="6"/>
                <c:pt idx="0">
                  <c:v>Cola</c:v>
                </c:pt>
                <c:pt idx="1">
                  <c:v>Energy Drink</c:v>
                </c:pt>
                <c:pt idx="2">
                  <c:v>Juice</c:v>
                </c:pt>
                <c:pt idx="3">
                  <c:v>Water</c:v>
                </c:pt>
                <c:pt idx="4">
                  <c:v>Sports Drink</c:v>
                </c:pt>
                <c:pt idx="5">
                  <c:v>Tea</c:v>
                </c:pt>
              </c:strCache>
            </c:strRef>
          </c:cat>
          <c:val>
            <c:numRef>
              <c:f>Dashboard!$K$86:$K$91</c:f>
              <c:numCache>
                <c:formatCode>#,##0</c:formatCode>
                <c:ptCount val="6"/>
                <c:pt idx="0">
                  <c:v>3294135</c:v>
                </c:pt>
                <c:pt idx="1">
                  <c:v>5115875</c:v>
                </c:pt>
                <c:pt idx="2">
                  <c:v>3592080</c:v>
                </c:pt>
                <c:pt idx="3">
                  <c:v>2493975</c:v>
                </c:pt>
                <c:pt idx="4">
                  <c:v>2745720</c:v>
                </c:pt>
                <c:pt idx="5">
                  <c:v>1977675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4693400"/>
        <c:axId val="370416343"/>
      </c:barChart>
      <c:catAx>
        <c:axId val="764693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70416343"/>
        <c:crosses val="autoZero"/>
        <c:auto val="1"/>
        <c:lblAlgn val="ctr"/>
        <c:lblOffset val="100"/>
        <c:noMultiLvlLbl val="0"/>
      </c:catAx>
      <c:valAx>
        <c:axId val="3704163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6469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0F223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15875</xdr:colOff>
      <xdr:row>9</xdr:row>
      <xdr:rowOff>175895</xdr:rowOff>
    </xdr:from>
    <xdr:to>
      <xdr:col>7</xdr:col>
      <xdr:colOff>594995</xdr:colOff>
      <xdr:row>24</xdr:row>
      <xdr:rowOff>175895</xdr:rowOff>
    </xdr:to>
    <xdr:graphicFrame>
      <xdr:nvGraphicFramePr>
        <xdr:cNvPr id="7" name="Chart 6"/>
        <xdr:cNvGraphicFramePr/>
      </xdr:nvGraphicFramePr>
      <xdr:xfrm>
        <a:off x="746125" y="2166620"/>
        <a:ext cx="6416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50165</xdr:colOff>
      <xdr:row>10</xdr:row>
      <xdr:rowOff>16510</xdr:rowOff>
    </xdr:from>
    <xdr:to>
      <xdr:col>13</xdr:col>
      <xdr:colOff>640715</xdr:colOff>
      <xdr:row>25</xdr:row>
      <xdr:rowOff>16510</xdr:rowOff>
    </xdr:to>
    <xdr:graphicFrame>
      <xdr:nvGraphicFramePr>
        <xdr:cNvPr id="8" name="Chart 7"/>
        <xdr:cNvGraphicFramePr/>
      </xdr:nvGraphicFramePr>
      <xdr:xfrm>
        <a:off x="7440295" y="2190115"/>
        <a:ext cx="5130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96520</xdr:colOff>
      <xdr:row>9</xdr:row>
      <xdr:rowOff>177800</xdr:rowOff>
    </xdr:from>
    <xdr:to>
      <xdr:col>21</xdr:col>
      <xdr:colOff>13970</xdr:colOff>
      <xdr:row>24</xdr:row>
      <xdr:rowOff>177800</xdr:rowOff>
    </xdr:to>
    <xdr:graphicFrame>
      <xdr:nvGraphicFramePr>
        <xdr:cNvPr id="9" name="Chart 8"/>
        <xdr:cNvGraphicFramePr/>
      </xdr:nvGraphicFramePr>
      <xdr:xfrm>
        <a:off x="12849860" y="2168525"/>
        <a:ext cx="56781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26</xdr:row>
      <xdr:rowOff>140970</xdr:rowOff>
    </xdr:from>
    <xdr:to>
      <xdr:col>13</xdr:col>
      <xdr:colOff>626110</xdr:colOff>
      <xdr:row>49</xdr:row>
      <xdr:rowOff>77470</xdr:rowOff>
    </xdr:to>
    <xdr:graphicFrame>
      <xdr:nvGraphicFramePr>
        <xdr:cNvPr id="10" name="Chart 9"/>
        <xdr:cNvGraphicFramePr/>
      </xdr:nvGraphicFramePr>
      <xdr:xfrm>
        <a:off x="755650" y="5240655"/>
        <a:ext cx="11800840" cy="4142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117475</xdr:colOff>
      <xdr:row>26</xdr:row>
      <xdr:rowOff>79375</xdr:rowOff>
    </xdr:from>
    <xdr:to>
      <xdr:col>21</xdr:col>
      <xdr:colOff>12700</xdr:colOff>
      <xdr:row>49</xdr:row>
      <xdr:rowOff>98425</xdr:rowOff>
    </xdr:to>
    <xdr:graphicFrame>
      <xdr:nvGraphicFramePr>
        <xdr:cNvPr id="2" name="Chart 1"/>
        <xdr:cNvGraphicFramePr/>
      </xdr:nvGraphicFramePr>
      <xdr:xfrm>
        <a:off x="12870815" y="5179060"/>
        <a:ext cx="5655945" cy="422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4F72"/>
  </sheetPr>
  <dimension ref="A1:M290"/>
  <sheetViews>
    <sheetView showGridLines="0" tabSelected="1" workbookViewId="0">
      <pane ySplit="2" topLeftCell="A3" activePane="bottomLeft" state="frozen"/>
      <selection/>
      <selection pane="bottomLeft" activeCell="A2" sqref="A2"/>
    </sheetView>
  </sheetViews>
  <sheetFormatPr defaultColWidth="8.67592592592593" defaultRowHeight="14.4"/>
  <cols>
    <col min="1" max="1" width="8" customWidth="1"/>
    <col min="2" max="3" width="10" customWidth="1"/>
    <col min="4" max="4" width="16" customWidth="1"/>
    <col min="5" max="5" width="12" customWidth="1"/>
    <col min="6" max="6" width="14" customWidth="1"/>
    <col min="7" max="7" width="12" customWidth="1"/>
    <col min="8" max="8" width="14" customWidth="1"/>
    <col min="9" max="9" width="16" customWidth="1"/>
    <col min="10" max="10" width="11" customWidth="1"/>
    <col min="11" max="11" width="16" customWidth="1"/>
    <col min="12" max="12" width="11" customWidth="1"/>
    <col min="13" max="13" width="14" customWidth="1"/>
  </cols>
  <sheetData>
    <row r="1" ht="31.5" customHeight="1" spans="1:1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ht="27.75" customHeight="1" spans="1:13">
      <c r="A2" s="59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59" t="s">
        <v>6</v>
      </c>
      <c r="G2" s="59" t="s">
        <v>7</v>
      </c>
      <c r="H2" s="59" t="s">
        <v>8</v>
      </c>
      <c r="I2" s="59" t="s">
        <v>9</v>
      </c>
      <c r="J2" s="59" t="s">
        <v>10</v>
      </c>
      <c r="K2" s="59" t="s">
        <v>11</v>
      </c>
      <c r="L2" s="59" t="s">
        <v>12</v>
      </c>
      <c r="M2" s="59" t="s">
        <v>13</v>
      </c>
    </row>
    <row r="3" spans="1:13">
      <c r="A3" s="40">
        <v>1</v>
      </c>
      <c r="B3" s="60" t="s">
        <v>14</v>
      </c>
      <c r="C3" s="40">
        <v>1</v>
      </c>
      <c r="D3" s="60" t="s">
        <v>15</v>
      </c>
      <c r="E3" s="60" t="s">
        <v>16</v>
      </c>
      <c r="F3" s="60" t="s">
        <v>17</v>
      </c>
      <c r="G3" s="40">
        <v>1491</v>
      </c>
      <c r="H3" s="41">
        <v>45</v>
      </c>
      <c r="I3" s="61">
        <v>67095</v>
      </c>
      <c r="J3" s="62">
        <v>0</v>
      </c>
      <c r="K3" s="61">
        <v>67095</v>
      </c>
      <c r="L3" s="40" t="s">
        <v>18</v>
      </c>
      <c r="M3" s="40">
        <v>4</v>
      </c>
    </row>
    <row r="4" spans="1:13">
      <c r="A4" s="35">
        <v>2</v>
      </c>
      <c r="B4" s="63" t="s">
        <v>14</v>
      </c>
      <c r="C4" s="35">
        <v>1</v>
      </c>
      <c r="D4" s="63" t="s">
        <v>15</v>
      </c>
      <c r="E4" s="63" t="s">
        <v>16</v>
      </c>
      <c r="F4" s="63" t="s">
        <v>19</v>
      </c>
      <c r="G4" s="35">
        <v>1746</v>
      </c>
      <c r="H4" s="36">
        <v>45</v>
      </c>
      <c r="I4" s="64">
        <v>78570</v>
      </c>
      <c r="J4" s="65">
        <v>0</v>
      </c>
      <c r="K4" s="64">
        <v>78570</v>
      </c>
      <c r="L4" s="35" t="s">
        <v>18</v>
      </c>
      <c r="M4" s="35">
        <v>4.5</v>
      </c>
    </row>
    <row r="5" spans="1:13">
      <c r="A5" s="40">
        <v>3</v>
      </c>
      <c r="B5" s="60" t="s">
        <v>14</v>
      </c>
      <c r="C5" s="40">
        <v>1</v>
      </c>
      <c r="D5" s="60" t="s">
        <v>15</v>
      </c>
      <c r="E5" s="60" t="s">
        <v>16</v>
      </c>
      <c r="F5" s="60" t="s">
        <v>20</v>
      </c>
      <c r="G5" s="40">
        <v>1212</v>
      </c>
      <c r="H5" s="41">
        <v>45</v>
      </c>
      <c r="I5" s="61">
        <v>54540</v>
      </c>
      <c r="J5" s="62">
        <v>0</v>
      </c>
      <c r="K5" s="61">
        <v>54540</v>
      </c>
      <c r="L5" s="40" t="s">
        <v>18</v>
      </c>
      <c r="M5" s="40">
        <v>4.1</v>
      </c>
    </row>
    <row r="6" spans="1:13">
      <c r="A6" s="35">
        <v>4</v>
      </c>
      <c r="B6" s="63" t="s">
        <v>14</v>
      </c>
      <c r="C6" s="35">
        <v>1</v>
      </c>
      <c r="D6" s="63" t="s">
        <v>15</v>
      </c>
      <c r="E6" s="63" t="s">
        <v>16</v>
      </c>
      <c r="F6" s="63" t="s">
        <v>21</v>
      </c>
      <c r="G6" s="35">
        <v>1503</v>
      </c>
      <c r="H6" s="36">
        <v>45</v>
      </c>
      <c r="I6" s="64">
        <v>67635</v>
      </c>
      <c r="J6" s="65">
        <v>10</v>
      </c>
      <c r="K6" s="64">
        <v>60872</v>
      </c>
      <c r="L6" s="35" t="s">
        <v>22</v>
      </c>
      <c r="M6" s="35">
        <v>4.4</v>
      </c>
    </row>
    <row r="7" spans="1:13">
      <c r="A7" s="40">
        <v>5</v>
      </c>
      <c r="B7" s="60" t="s">
        <v>14</v>
      </c>
      <c r="C7" s="40">
        <v>1</v>
      </c>
      <c r="D7" s="60" t="s">
        <v>23</v>
      </c>
      <c r="E7" s="60" t="s">
        <v>24</v>
      </c>
      <c r="F7" s="60" t="s">
        <v>17</v>
      </c>
      <c r="G7" s="40">
        <v>885</v>
      </c>
      <c r="H7" s="41">
        <v>125</v>
      </c>
      <c r="I7" s="61">
        <v>110625</v>
      </c>
      <c r="J7" s="62">
        <v>0</v>
      </c>
      <c r="K7" s="61">
        <v>110625</v>
      </c>
      <c r="L7" s="40" t="s">
        <v>18</v>
      </c>
      <c r="M7" s="40">
        <v>4.5</v>
      </c>
    </row>
    <row r="8" spans="1:13">
      <c r="A8" s="35">
        <v>6</v>
      </c>
      <c r="B8" s="63" t="s">
        <v>14</v>
      </c>
      <c r="C8" s="35">
        <v>1</v>
      </c>
      <c r="D8" s="63" t="s">
        <v>23</v>
      </c>
      <c r="E8" s="63" t="s">
        <v>24</v>
      </c>
      <c r="F8" s="63" t="s">
        <v>19</v>
      </c>
      <c r="G8" s="35">
        <v>816</v>
      </c>
      <c r="H8" s="36">
        <v>125</v>
      </c>
      <c r="I8" s="64">
        <v>102000</v>
      </c>
      <c r="J8" s="65">
        <v>0</v>
      </c>
      <c r="K8" s="64">
        <v>102000</v>
      </c>
      <c r="L8" s="35" t="s">
        <v>18</v>
      </c>
      <c r="M8" s="35">
        <v>4</v>
      </c>
    </row>
    <row r="9" spans="1:13">
      <c r="A9" s="40">
        <v>7</v>
      </c>
      <c r="B9" s="60" t="s">
        <v>14</v>
      </c>
      <c r="C9" s="40">
        <v>1</v>
      </c>
      <c r="D9" s="60" t="s">
        <v>23</v>
      </c>
      <c r="E9" s="60" t="s">
        <v>24</v>
      </c>
      <c r="F9" s="60" t="s">
        <v>20</v>
      </c>
      <c r="G9" s="40">
        <v>715</v>
      </c>
      <c r="H9" s="41">
        <v>125</v>
      </c>
      <c r="I9" s="61">
        <v>89375</v>
      </c>
      <c r="J9" s="62">
        <v>0</v>
      </c>
      <c r="K9" s="61">
        <v>89375</v>
      </c>
      <c r="L9" s="40" t="s">
        <v>18</v>
      </c>
      <c r="M9" s="40">
        <v>3.8</v>
      </c>
    </row>
    <row r="10" spans="1:13">
      <c r="A10" s="35">
        <v>8</v>
      </c>
      <c r="B10" s="63" t="s">
        <v>14</v>
      </c>
      <c r="C10" s="35">
        <v>1</v>
      </c>
      <c r="D10" s="63" t="s">
        <v>23</v>
      </c>
      <c r="E10" s="63" t="s">
        <v>24</v>
      </c>
      <c r="F10" s="63" t="s">
        <v>21</v>
      </c>
      <c r="G10" s="35">
        <v>760</v>
      </c>
      <c r="H10" s="36">
        <v>125</v>
      </c>
      <c r="I10" s="64">
        <v>95000</v>
      </c>
      <c r="J10" s="65">
        <v>0</v>
      </c>
      <c r="K10" s="64">
        <v>95000</v>
      </c>
      <c r="L10" s="35" t="s">
        <v>18</v>
      </c>
      <c r="M10" s="35">
        <v>3.9</v>
      </c>
    </row>
    <row r="11" spans="1:13">
      <c r="A11" s="40">
        <v>9</v>
      </c>
      <c r="B11" s="60" t="s">
        <v>14</v>
      </c>
      <c r="C11" s="40">
        <v>1</v>
      </c>
      <c r="D11" s="60" t="s">
        <v>25</v>
      </c>
      <c r="E11" s="60" t="s">
        <v>26</v>
      </c>
      <c r="F11" s="60" t="s">
        <v>17</v>
      </c>
      <c r="G11" s="40">
        <v>930</v>
      </c>
      <c r="H11" s="41">
        <v>80</v>
      </c>
      <c r="I11" s="61">
        <v>74400</v>
      </c>
      <c r="J11" s="62">
        <v>0</v>
      </c>
      <c r="K11" s="61">
        <v>74400</v>
      </c>
      <c r="L11" s="40" t="s">
        <v>18</v>
      </c>
      <c r="M11" s="40">
        <v>4.1</v>
      </c>
    </row>
    <row r="12" spans="1:13">
      <c r="A12" s="35">
        <v>10</v>
      </c>
      <c r="B12" s="63" t="s">
        <v>14</v>
      </c>
      <c r="C12" s="35">
        <v>1</v>
      </c>
      <c r="D12" s="63" t="s">
        <v>25</v>
      </c>
      <c r="E12" s="63" t="s">
        <v>26</v>
      </c>
      <c r="F12" s="63" t="s">
        <v>19</v>
      </c>
      <c r="G12" s="35">
        <v>971</v>
      </c>
      <c r="H12" s="36">
        <v>80</v>
      </c>
      <c r="I12" s="64">
        <v>77680</v>
      </c>
      <c r="J12" s="65">
        <v>0</v>
      </c>
      <c r="K12" s="64">
        <v>77680</v>
      </c>
      <c r="L12" s="35" t="s">
        <v>18</v>
      </c>
      <c r="M12" s="35">
        <v>3.9</v>
      </c>
    </row>
    <row r="13" spans="1:13">
      <c r="A13" s="40">
        <v>11</v>
      </c>
      <c r="B13" s="60" t="s">
        <v>14</v>
      </c>
      <c r="C13" s="40">
        <v>1</v>
      </c>
      <c r="D13" s="60" t="s">
        <v>25</v>
      </c>
      <c r="E13" s="60" t="s">
        <v>26</v>
      </c>
      <c r="F13" s="60" t="s">
        <v>20</v>
      </c>
      <c r="G13" s="40">
        <v>829</v>
      </c>
      <c r="H13" s="41">
        <v>80</v>
      </c>
      <c r="I13" s="61">
        <v>66320</v>
      </c>
      <c r="J13" s="62">
        <v>20</v>
      </c>
      <c r="K13" s="61">
        <v>53056</v>
      </c>
      <c r="L13" s="40" t="s">
        <v>22</v>
      </c>
      <c r="M13" s="40">
        <v>4.9</v>
      </c>
    </row>
    <row r="14" spans="1:13">
      <c r="A14" s="35">
        <v>12</v>
      </c>
      <c r="B14" s="63" t="s">
        <v>14</v>
      </c>
      <c r="C14" s="35">
        <v>1</v>
      </c>
      <c r="D14" s="63" t="s">
        <v>25</v>
      </c>
      <c r="E14" s="63" t="s">
        <v>26</v>
      </c>
      <c r="F14" s="63" t="s">
        <v>21</v>
      </c>
      <c r="G14" s="35">
        <v>994</v>
      </c>
      <c r="H14" s="36">
        <v>80</v>
      </c>
      <c r="I14" s="64">
        <v>79520</v>
      </c>
      <c r="J14" s="65">
        <v>0</v>
      </c>
      <c r="K14" s="64">
        <v>79520</v>
      </c>
      <c r="L14" s="35" t="s">
        <v>18</v>
      </c>
      <c r="M14" s="35">
        <v>4.7</v>
      </c>
    </row>
    <row r="15" spans="1:13">
      <c r="A15" s="40">
        <v>13</v>
      </c>
      <c r="B15" s="60" t="s">
        <v>14</v>
      </c>
      <c r="C15" s="40">
        <v>1</v>
      </c>
      <c r="D15" s="60" t="s">
        <v>27</v>
      </c>
      <c r="E15" s="60" t="s">
        <v>28</v>
      </c>
      <c r="F15" s="60" t="s">
        <v>17</v>
      </c>
      <c r="G15" s="40">
        <v>2235</v>
      </c>
      <c r="H15" s="41">
        <v>25</v>
      </c>
      <c r="I15" s="61">
        <v>55875</v>
      </c>
      <c r="J15" s="62">
        <v>0</v>
      </c>
      <c r="K15" s="61">
        <v>55875</v>
      </c>
      <c r="L15" s="40" t="s">
        <v>18</v>
      </c>
      <c r="M15" s="40">
        <v>4.4</v>
      </c>
    </row>
    <row r="16" spans="1:13">
      <c r="A16" s="35">
        <v>14</v>
      </c>
      <c r="B16" s="63" t="s">
        <v>14</v>
      </c>
      <c r="C16" s="35">
        <v>1</v>
      </c>
      <c r="D16" s="63" t="s">
        <v>27</v>
      </c>
      <c r="E16" s="63" t="s">
        <v>28</v>
      </c>
      <c r="F16" s="63" t="s">
        <v>19</v>
      </c>
      <c r="G16" s="35">
        <v>1799</v>
      </c>
      <c r="H16" s="36">
        <v>25</v>
      </c>
      <c r="I16" s="64">
        <v>44975</v>
      </c>
      <c r="J16" s="65">
        <v>0</v>
      </c>
      <c r="K16" s="64">
        <v>44975</v>
      </c>
      <c r="L16" s="35" t="s">
        <v>18</v>
      </c>
      <c r="M16" s="35">
        <v>3.9</v>
      </c>
    </row>
    <row r="17" spans="1:13">
      <c r="A17" s="40">
        <v>15</v>
      </c>
      <c r="B17" s="60" t="s">
        <v>14</v>
      </c>
      <c r="C17" s="40">
        <v>1</v>
      </c>
      <c r="D17" s="60" t="s">
        <v>27</v>
      </c>
      <c r="E17" s="60" t="s">
        <v>28</v>
      </c>
      <c r="F17" s="60" t="s">
        <v>20</v>
      </c>
      <c r="G17" s="40">
        <v>1479</v>
      </c>
      <c r="H17" s="41">
        <v>25</v>
      </c>
      <c r="I17" s="61">
        <v>36975</v>
      </c>
      <c r="J17" s="62">
        <v>0</v>
      </c>
      <c r="K17" s="61">
        <v>36975</v>
      </c>
      <c r="L17" s="40" t="s">
        <v>18</v>
      </c>
      <c r="M17" s="40">
        <v>3.9</v>
      </c>
    </row>
    <row r="18" spans="1:13">
      <c r="A18" s="35">
        <v>16</v>
      </c>
      <c r="B18" s="63" t="s">
        <v>14</v>
      </c>
      <c r="C18" s="35">
        <v>1</v>
      </c>
      <c r="D18" s="63" t="s">
        <v>27</v>
      </c>
      <c r="E18" s="63" t="s">
        <v>28</v>
      </c>
      <c r="F18" s="63" t="s">
        <v>21</v>
      </c>
      <c r="G18" s="35">
        <v>1941</v>
      </c>
      <c r="H18" s="36">
        <v>25</v>
      </c>
      <c r="I18" s="64">
        <v>48525</v>
      </c>
      <c r="J18" s="65">
        <v>15</v>
      </c>
      <c r="K18" s="64">
        <v>41246</v>
      </c>
      <c r="L18" s="35" t="s">
        <v>22</v>
      </c>
      <c r="M18" s="35">
        <v>4.7</v>
      </c>
    </row>
    <row r="19" spans="1:13">
      <c r="A19" s="40">
        <v>17</v>
      </c>
      <c r="B19" s="60" t="s">
        <v>14</v>
      </c>
      <c r="C19" s="40">
        <v>1</v>
      </c>
      <c r="D19" s="60" t="s">
        <v>29</v>
      </c>
      <c r="E19" s="60" t="s">
        <v>30</v>
      </c>
      <c r="F19" s="60" t="s">
        <v>17</v>
      </c>
      <c r="G19" s="40">
        <v>608</v>
      </c>
      <c r="H19" s="41">
        <v>90</v>
      </c>
      <c r="I19" s="61">
        <v>54720</v>
      </c>
      <c r="J19" s="62">
        <v>15</v>
      </c>
      <c r="K19" s="61">
        <v>46512</v>
      </c>
      <c r="L19" s="40" t="s">
        <v>22</v>
      </c>
      <c r="M19" s="40">
        <v>3.9</v>
      </c>
    </row>
    <row r="20" spans="1:13">
      <c r="A20" s="35">
        <v>18</v>
      </c>
      <c r="B20" s="63" t="s">
        <v>14</v>
      </c>
      <c r="C20" s="35">
        <v>1</v>
      </c>
      <c r="D20" s="63" t="s">
        <v>29</v>
      </c>
      <c r="E20" s="63" t="s">
        <v>30</v>
      </c>
      <c r="F20" s="63" t="s">
        <v>19</v>
      </c>
      <c r="G20" s="35">
        <v>665</v>
      </c>
      <c r="H20" s="36">
        <v>90</v>
      </c>
      <c r="I20" s="64">
        <v>59850</v>
      </c>
      <c r="J20" s="65">
        <v>0</v>
      </c>
      <c r="K20" s="64">
        <v>59850</v>
      </c>
      <c r="L20" s="35" t="s">
        <v>18</v>
      </c>
      <c r="M20" s="35">
        <v>4.4</v>
      </c>
    </row>
    <row r="21" spans="1:13">
      <c r="A21" s="40">
        <v>19</v>
      </c>
      <c r="B21" s="60" t="s">
        <v>14</v>
      </c>
      <c r="C21" s="40">
        <v>1</v>
      </c>
      <c r="D21" s="60" t="s">
        <v>29</v>
      </c>
      <c r="E21" s="60" t="s">
        <v>30</v>
      </c>
      <c r="F21" s="60" t="s">
        <v>20</v>
      </c>
      <c r="G21" s="40">
        <v>481</v>
      </c>
      <c r="H21" s="41">
        <v>90</v>
      </c>
      <c r="I21" s="61">
        <v>43290</v>
      </c>
      <c r="J21" s="62">
        <v>10</v>
      </c>
      <c r="K21" s="61">
        <v>38961</v>
      </c>
      <c r="L21" s="40" t="s">
        <v>22</v>
      </c>
      <c r="M21" s="40">
        <v>4.1</v>
      </c>
    </row>
    <row r="22" spans="1:13">
      <c r="A22" s="35">
        <v>20</v>
      </c>
      <c r="B22" s="63" t="s">
        <v>14</v>
      </c>
      <c r="C22" s="35">
        <v>1</v>
      </c>
      <c r="D22" s="63" t="s">
        <v>29</v>
      </c>
      <c r="E22" s="63" t="s">
        <v>30</v>
      </c>
      <c r="F22" s="63" t="s">
        <v>21</v>
      </c>
      <c r="G22" s="35">
        <v>645</v>
      </c>
      <c r="H22" s="36">
        <v>90</v>
      </c>
      <c r="I22" s="64">
        <v>58050</v>
      </c>
      <c r="J22" s="65">
        <v>0</v>
      </c>
      <c r="K22" s="64">
        <v>58050</v>
      </c>
      <c r="L22" s="35" t="s">
        <v>18</v>
      </c>
      <c r="M22" s="35">
        <v>4.3</v>
      </c>
    </row>
    <row r="23" spans="1:13">
      <c r="A23" s="40">
        <v>21</v>
      </c>
      <c r="B23" s="60" t="s">
        <v>14</v>
      </c>
      <c r="C23" s="40">
        <v>1</v>
      </c>
      <c r="D23" s="60" t="s">
        <v>31</v>
      </c>
      <c r="E23" s="60" t="s">
        <v>32</v>
      </c>
      <c r="F23" s="60" t="s">
        <v>17</v>
      </c>
      <c r="G23" s="40">
        <v>1416</v>
      </c>
      <c r="H23" s="41">
        <v>35</v>
      </c>
      <c r="I23" s="61">
        <v>49560</v>
      </c>
      <c r="J23" s="62">
        <v>0</v>
      </c>
      <c r="K23" s="61">
        <v>49560</v>
      </c>
      <c r="L23" s="40" t="s">
        <v>18</v>
      </c>
      <c r="M23" s="40">
        <v>4.6</v>
      </c>
    </row>
    <row r="24" spans="1:13">
      <c r="A24" s="35">
        <v>22</v>
      </c>
      <c r="B24" s="63" t="s">
        <v>14</v>
      </c>
      <c r="C24" s="35">
        <v>1</v>
      </c>
      <c r="D24" s="63" t="s">
        <v>31</v>
      </c>
      <c r="E24" s="63" t="s">
        <v>32</v>
      </c>
      <c r="F24" s="63" t="s">
        <v>19</v>
      </c>
      <c r="G24" s="35">
        <v>1140</v>
      </c>
      <c r="H24" s="36">
        <v>35</v>
      </c>
      <c r="I24" s="64">
        <v>39900</v>
      </c>
      <c r="J24" s="65">
        <v>0</v>
      </c>
      <c r="K24" s="64">
        <v>39900</v>
      </c>
      <c r="L24" s="35" t="s">
        <v>18</v>
      </c>
      <c r="M24" s="35">
        <v>4</v>
      </c>
    </row>
    <row r="25" spans="1:13">
      <c r="A25" s="40">
        <v>23</v>
      </c>
      <c r="B25" s="60" t="s">
        <v>14</v>
      </c>
      <c r="C25" s="40">
        <v>1</v>
      </c>
      <c r="D25" s="60" t="s">
        <v>31</v>
      </c>
      <c r="E25" s="60" t="s">
        <v>32</v>
      </c>
      <c r="F25" s="60" t="s">
        <v>20</v>
      </c>
      <c r="G25" s="40">
        <v>974</v>
      </c>
      <c r="H25" s="41">
        <v>35</v>
      </c>
      <c r="I25" s="61">
        <v>34090</v>
      </c>
      <c r="J25" s="62">
        <v>0</v>
      </c>
      <c r="K25" s="61">
        <v>34090</v>
      </c>
      <c r="L25" s="40" t="s">
        <v>18</v>
      </c>
      <c r="M25" s="40">
        <v>4.8</v>
      </c>
    </row>
    <row r="26" spans="1:13">
      <c r="A26" s="35">
        <v>24</v>
      </c>
      <c r="B26" s="63" t="s">
        <v>14</v>
      </c>
      <c r="C26" s="35">
        <v>1</v>
      </c>
      <c r="D26" s="63" t="s">
        <v>31</v>
      </c>
      <c r="E26" s="63" t="s">
        <v>32</v>
      </c>
      <c r="F26" s="63" t="s">
        <v>21</v>
      </c>
      <c r="G26" s="35">
        <v>1193</v>
      </c>
      <c r="H26" s="36">
        <v>35</v>
      </c>
      <c r="I26" s="64">
        <v>41755</v>
      </c>
      <c r="J26" s="65">
        <v>0</v>
      </c>
      <c r="K26" s="64">
        <v>41755</v>
      </c>
      <c r="L26" s="35" t="s">
        <v>18</v>
      </c>
      <c r="M26" s="35">
        <v>4.5</v>
      </c>
    </row>
    <row r="27" spans="1:13">
      <c r="A27" s="40">
        <v>25</v>
      </c>
      <c r="B27" s="60" t="s">
        <v>33</v>
      </c>
      <c r="C27" s="40">
        <v>2</v>
      </c>
      <c r="D27" s="60" t="s">
        <v>15</v>
      </c>
      <c r="E27" s="60" t="s">
        <v>16</v>
      </c>
      <c r="F27" s="60" t="s">
        <v>17</v>
      </c>
      <c r="G27" s="40">
        <v>1785</v>
      </c>
      <c r="H27" s="41">
        <v>45</v>
      </c>
      <c r="I27" s="61">
        <v>80325</v>
      </c>
      <c r="J27" s="62">
        <v>0</v>
      </c>
      <c r="K27" s="61">
        <v>80325</v>
      </c>
      <c r="L27" s="40" t="s">
        <v>18</v>
      </c>
      <c r="M27" s="40">
        <v>4.2</v>
      </c>
    </row>
    <row r="28" spans="1:13">
      <c r="A28" s="35">
        <v>26</v>
      </c>
      <c r="B28" s="63" t="s">
        <v>33</v>
      </c>
      <c r="C28" s="35">
        <v>2</v>
      </c>
      <c r="D28" s="63" t="s">
        <v>15</v>
      </c>
      <c r="E28" s="63" t="s">
        <v>16</v>
      </c>
      <c r="F28" s="63" t="s">
        <v>19</v>
      </c>
      <c r="G28" s="35">
        <v>1497</v>
      </c>
      <c r="H28" s="36">
        <v>45</v>
      </c>
      <c r="I28" s="64">
        <v>67365</v>
      </c>
      <c r="J28" s="65">
        <v>0</v>
      </c>
      <c r="K28" s="64">
        <v>67365</v>
      </c>
      <c r="L28" s="35" t="s">
        <v>18</v>
      </c>
      <c r="M28" s="35">
        <v>4.3</v>
      </c>
    </row>
    <row r="29" spans="1:13">
      <c r="A29" s="40">
        <v>27</v>
      </c>
      <c r="B29" s="60" t="s">
        <v>33</v>
      </c>
      <c r="C29" s="40">
        <v>2</v>
      </c>
      <c r="D29" s="60" t="s">
        <v>15</v>
      </c>
      <c r="E29" s="60" t="s">
        <v>16</v>
      </c>
      <c r="F29" s="60" t="s">
        <v>20</v>
      </c>
      <c r="G29" s="40">
        <v>1325</v>
      </c>
      <c r="H29" s="41">
        <v>45</v>
      </c>
      <c r="I29" s="61">
        <v>59625</v>
      </c>
      <c r="J29" s="62">
        <v>0</v>
      </c>
      <c r="K29" s="61">
        <v>59625</v>
      </c>
      <c r="L29" s="40" t="s">
        <v>18</v>
      </c>
      <c r="M29" s="40">
        <v>4.8</v>
      </c>
    </row>
    <row r="30" spans="1:13">
      <c r="A30" s="35">
        <v>28</v>
      </c>
      <c r="B30" s="63" t="s">
        <v>33</v>
      </c>
      <c r="C30" s="35">
        <v>2</v>
      </c>
      <c r="D30" s="63" t="s">
        <v>15</v>
      </c>
      <c r="E30" s="63" t="s">
        <v>16</v>
      </c>
      <c r="F30" s="63" t="s">
        <v>21</v>
      </c>
      <c r="G30" s="35">
        <v>1445</v>
      </c>
      <c r="H30" s="36">
        <v>45</v>
      </c>
      <c r="I30" s="64">
        <v>65025</v>
      </c>
      <c r="J30" s="65">
        <v>0</v>
      </c>
      <c r="K30" s="64">
        <v>65025</v>
      </c>
      <c r="L30" s="35" t="s">
        <v>18</v>
      </c>
      <c r="M30" s="35">
        <v>4.9</v>
      </c>
    </row>
    <row r="31" spans="1:13">
      <c r="A31" s="40">
        <v>29</v>
      </c>
      <c r="B31" s="60" t="s">
        <v>33</v>
      </c>
      <c r="C31" s="40">
        <v>2</v>
      </c>
      <c r="D31" s="60" t="s">
        <v>23</v>
      </c>
      <c r="E31" s="60" t="s">
        <v>24</v>
      </c>
      <c r="F31" s="60" t="s">
        <v>17</v>
      </c>
      <c r="G31" s="40">
        <v>732</v>
      </c>
      <c r="H31" s="41">
        <v>125</v>
      </c>
      <c r="I31" s="61">
        <v>91500</v>
      </c>
      <c r="J31" s="62">
        <v>0</v>
      </c>
      <c r="K31" s="61">
        <v>91500</v>
      </c>
      <c r="L31" s="40" t="s">
        <v>18</v>
      </c>
      <c r="M31" s="40">
        <v>3.7</v>
      </c>
    </row>
    <row r="32" spans="1:13">
      <c r="A32" s="35">
        <v>30</v>
      </c>
      <c r="B32" s="63" t="s">
        <v>33</v>
      </c>
      <c r="C32" s="35">
        <v>2</v>
      </c>
      <c r="D32" s="63" t="s">
        <v>23</v>
      </c>
      <c r="E32" s="63" t="s">
        <v>24</v>
      </c>
      <c r="F32" s="63" t="s">
        <v>19</v>
      </c>
      <c r="G32" s="35">
        <v>852</v>
      </c>
      <c r="H32" s="36">
        <v>125</v>
      </c>
      <c r="I32" s="64">
        <v>106500</v>
      </c>
      <c r="J32" s="65">
        <v>10</v>
      </c>
      <c r="K32" s="64">
        <v>95850</v>
      </c>
      <c r="L32" s="35" t="s">
        <v>22</v>
      </c>
      <c r="M32" s="35">
        <v>4.1</v>
      </c>
    </row>
    <row r="33" spans="1:13">
      <c r="A33" s="40">
        <v>31</v>
      </c>
      <c r="B33" s="60" t="s">
        <v>33</v>
      </c>
      <c r="C33" s="40">
        <v>2</v>
      </c>
      <c r="D33" s="60" t="s">
        <v>23</v>
      </c>
      <c r="E33" s="60" t="s">
        <v>24</v>
      </c>
      <c r="F33" s="60" t="s">
        <v>20</v>
      </c>
      <c r="G33" s="40">
        <v>664</v>
      </c>
      <c r="H33" s="41">
        <v>125</v>
      </c>
      <c r="I33" s="61">
        <v>83000</v>
      </c>
      <c r="J33" s="62">
        <v>20</v>
      </c>
      <c r="K33" s="61">
        <v>66400</v>
      </c>
      <c r="L33" s="40" t="s">
        <v>22</v>
      </c>
      <c r="M33" s="40">
        <v>4.2</v>
      </c>
    </row>
    <row r="34" spans="1:13">
      <c r="A34" s="35">
        <v>32</v>
      </c>
      <c r="B34" s="63" t="s">
        <v>33</v>
      </c>
      <c r="C34" s="35">
        <v>2</v>
      </c>
      <c r="D34" s="63" t="s">
        <v>23</v>
      </c>
      <c r="E34" s="63" t="s">
        <v>24</v>
      </c>
      <c r="F34" s="63" t="s">
        <v>21</v>
      </c>
      <c r="G34" s="35">
        <v>784</v>
      </c>
      <c r="H34" s="36">
        <v>125</v>
      </c>
      <c r="I34" s="64">
        <v>98000</v>
      </c>
      <c r="J34" s="65">
        <v>0</v>
      </c>
      <c r="K34" s="64">
        <v>98000</v>
      </c>
      <c r="L34" s="35" t="s">
        <v>18</v>
      </c>
      <c r="M34" s="35">
        <v>4.8</v>
      </c>
    </row>
    <row r="35" spans="1:13">
      <c r="A35" s="40">
        <v>33</v>
      </c>
      <c r="B35" s="60" t="s">
        <v>33</v>
      </c>
      <c r="C35" s="40">
        <v>2</v>
      </c>
      <c r="D35" s="60" t="s">
        <v>25</v>
      </c>
      <c r="E35" s="60" t="s">
        <v>26</v>
      </c>
      <c r="F35" s="60" t="s">
        <v>17</v>
      </c>
      <c r="G35" s="40">
        <v>900</v>
      </c>
      <c r="H35" s="41">
        <v>80</v>
      </c>
      <c r="I35" s="61">
        <v>72000</v>
      </c>
      <c r="J35" s="62">
        <v>0</v>
      </c>
      <c r="K35" s="61">
        <v>72000</v>
      </c>
      <c r="L35" s="40" t="s">
        <v>18</v>
      </c>
      <c r="M35" s="40">
        <v>4.8</v>
      </c>
    </row>
    <row r="36" spans="1:13">
      <c r="A36" s="35">
        <v>34</v>
      </c>
      <c r="B36" s="63" t="s">
        <v>33</v>
      </c>
      <c r="C36" s="35">
        <v>2</v>
      </c>
      <c r="D36" s="63" t="s">
        <v>25</v>
      </c>
      <c r="E36" s="63" t="s">
        <v>26</v>
      </c>
      <c r="F36" s="63" t="s">
        <v>19</v>
      </c>
      <c r="G36" s="35">
        <v>1036</v>
      </c>
      <c r="H36" s="36">
        <v>80</v>
      </c>
      <c r="I36" s="64">
        <v>82880</v>
      </c>
      <c r="J36" s="65">
        <v>0</v>
      </c>
      <c r="K36" s="64">
        <v>82880</v>
      </c>
      <c r="L36" s="35" t="s">
        <v>18</v>
      </c>
      <c r="M36" s="35">
        <v>4</v>
      </c>
    </row>
    <row r="37" spans="1:13">
      <c r="A37" s="40">
        <v>35</v>
      </c>
      <c r="B37" s="60" t="s">
        <v>33</v>
      </c>
      <c r="C37" s="40">
        <v>2</v>
      </c>
      <c r="D37" s="60" t="s">
        <v>25</v>
      </c>
      <c r="E37" s="60" t="s">
        <v>26</v>
      </c>
      <c r="F37" s="60" t="s">
        <v>20</v>
      </c>
      <c r="G37" s="40">
        <v>728</v>
      </c>
      <c r="H37" s="41">
        <v>80</v>
      </c>
      <c r="I37" s="61">
        <v>58240</v>
      </c>
      <c r="J37" s="62">
        <v>0</v>
      </c>
      <c r="K37" s="61">
        <v>58240</v>
      </c>
      <c r="L37" s="40" t="s">
        <v>18</v>
      </c>
      <c r="M37" s="40">
        <v>3.6</v>
      </c>
    </row>
    <row r="38" spans="1:13">
      <c r="A38" s="35">
        <v>36</v>
      </c>
      <c r="B38" s="63" t="s">
        <v>33</v>
      </c>
      <c r="C38" s="35">
        <v>2</v>
      </c>
      <c r="D38" s="63" t="s">
        <v>25</v>
      </c>
      <c r="E38" s="63" t="s">
        <v>26</v>
      </c>
      <c r="F38" s="63" t="s">
        <v>21</v>
      </c>
      <c r="G38" s="35">
        <v>997</v>
      </c>
      <c r="H38" s="36">
        <v>80</v>
      </c>
      <c r="I38" s="64">
        <v>79760</v>
      </c>
      <c r="J38" s="65">
        <v>0</v>
      </c>
      <c r="K38" s="64">
        <v>79760</v>
      </c>
      <c r="L38" s="35" t="s">
        <v>18</v>
      </c>
      <c r="M38" s="35">
        <v>4.9</v>
      </c>
    </row>
    <row r="39" spans="1:13">
      <c r="A39" s="40">
        <v>37</v>
      </c>
      <c r="B39" s="60" t="s">
        <v>33</v>
      </c>
      <c r="C39" s="40">
        <v>2</v>
      </c>
      <c r="D39" s="60" t="s">
        <v>27</v>
      </c>
      <c r="E39" s="60" t="s">
        <v>28</v>
      </c>
      <c r="F39" s="60" t="s">
        <v>17</v>
      </c>
      <c r="G39" s="40">
        <v>1988</v>
      </c>
      <c r="H39" s="41">
        <v>25</v>
      </c>
      <c r="I39" s="61">
        <v>49700</v>
      </c>
      <c r="J39" s="62">
        <v>0</v>
      </c>
      <c r="K39" s="61">
        <v>49700</v>
      </c>
      <c r="L39" s="40" t="s">
        <v>18</v>
      </c>
      <c r="M39" s="40">
        <v>3.7</v>
      </c>
    </row>
    <row r="40" spans="1:13">
      <c r="A40" s="35">
        <v>38</v>
      </c>
      <c r="B40" s="63" t="s">
        <v>33</v>
      </c>
      <c r="C40" s="35">
        <v>2</v>
      </c>
      <c r="D40" s="63" t="s">
        <v>27</v>
      </c>
      <c r="E40" s="63" t="s">
        <v>28</v>
      </c>
      <c r="F40" s="63" t="s">
        <v>19</v>
      </c>
      <c r="G40" s="35">
        <v>2108</v>
      </c>
      <c r="H40" s="36">
        <v>25</v>
      </c>
      <c r="I40" s="64">
        <v>52700</v>
      </c>
      <c r="J40" s="65">
        <v>0</v>
      </c>
      <c r="K40" s="64">
        <v>52700</v>
      </c>
      <c r="L40" s="35" t="s">
        <v>18</v>
      </c>
      <c r="M40" s="35">
        <v>4.3</v>
      </c>
    </row>
    <row r="41" spans="1:13">
      <c r="A41" s="40">
        <v>39</v>
      </c>
      <c r="B41" s="60" t="s">
        <v>33</v>
      </c>
      <c r="C41" s="40">
        <v>2</v>
      </c>
      <c r="D41" s="60" t="s">
        <v>27</v>
      </c>
      <c r="E41" s="60" t="s">
        <v>28</v>
      </c>
      <c r="F41" s="60" t="s">
        <v>20</v>
      </c>
      <c r="G41" s="40">
        <v>1687</v>
      </c>
      <c r="H41" s="41">
        <v>25</v>
      </c>
      <c r="I41" s="61">
        <v>42175</v>
      </c>
      <c r="J41" s="62">
        <v>15</v>
      </c>
      <c r="K41" s="61">
        <v>35849</v>
      </c>
      <c r="L41" s="40" t="s">
        <v>22</v>
      </c>
      <c r="M41" s="40">
        <v>4.3</v>
      </c>
    </row>
    <row r="42" spans="1:13">
      <c r="A42" s="35">
        <v>40</v>
      </c>
      <c r="B42" s="63" t="s">
        <v>33</v>
      </c>
      <c r="C42" s="35">
        <v>2</v>
      </c>
      <c r="D42" s="63" t="s">
        <v>27</v>
      </c>
      <c r="E42" s="63" t="s">
        <v>28</v>
      </c>
      <c r="F42" s="63" t="s">
        <v>21</v>
      </c>
      <c r="G42" s="35">
        <v>1907</v>
      </c>
      <c r="H42" s="36">
        <v>25</v>
      </c>
      <c r="I42" s="64">
        <v>47675</v>
      </c>
      <c r="J42" s="65">
        <v>0</v>
      </c>
      <c r="K42" s="64">
        <v>47675</v>
      </c>
      <c r="L42" s="35" t="s">
        <v>18</v>
      </c>
      <c r="M42" s="35">
        <v>3.6</v>
      </c>
    </row>
    <row r="43" spans="1:13">
      <c r="A43" s="40">
        <v>41</v>
      </c>
      <c r="B43" s="60" t="s">
        <v>33</v>
      </c>
      <c r="C43" s="40">
        <v>2</v>
      </c>
      <c r="D43" s="60" t="s">
        <v>29</v>
      </c>
      <c r="E43" s="60" t="s">
        <v>30</v>
      </c>
      <c r="F43" s="60" t="s">
        <v>17</v>
      </c>
      <c r="G43" s="40">
        <v>558</v>
      </c>
      <c r="H43" s="41">
        <v>90</v>
      </c>
      <c r="I43" s="61">
        <v>50220</v>
      </c>
      <c r="J43" s="62">
        <v>0</v>
      </c>
      <c r="K43" s="61">
        <v>50220</v>
      </c>
      <c r="L43" s="40" t="s">
        <v>18</v>
      </c>
      <c r="M43" s="40">
        <v>4.8</v>
      </c>
    </row>
    <row r="44" spans="1:13">
      <c r="A44" s="35">
        <v>42</v>
      </c>
      <c r="B44" s="63" t="s">
        <v>33</v>
      </c>
      <c r="C44" s="35">
        <v>2</v>
      </c>
      <c r="D44" s="63" t="s">
        <v>29</v>
      </c>
      <c r="E44" s="63" t="s">
        <v>30</v>
      </c>
      <c r="F44" s="63" t="s">
        <v>19</v>
      </c>
      <c r="G44" s="35">
        <v>669</v>
      </c>
      <c r="H44" s="36">
        <v>90</v>
      </c>
      <c r="I44" s="64">
        <v>60210</v>
      </c>
      <c r="J44" s="65">
        <v>0</v>
      </c>
      <c r="K44" s="64">
        <v>60210</v>
      </c>
      <c r="L44" s="35" t="s">
        <v>18</v>
      </c>
      <c r="M44" s="35">
        <v>4</v>
      </c>
    </row>
    <row r="45" spans="1:13">
      <c r="A45" s="40">
        <v>43</v>
      </c>
      <c r="B45" s="60" t="s">
        <v>33</v>
      </c>
      <c r="C45" s="40">
        <v>2</v>
      </c>
      <c r="D45" s="60" t="s">
        <v>29</v>
      </c>
      <c r="E45" s="60" t="s">
        <v>30</v>
      </c>
      <c r="F45" s="60" t="s">
        <v>20</v>
      </c>
      <c r="G45" s="40">
        <v>454</v>
      </c>
      <c r="H45" s="41">
        <v>90</v>
      </c>
      <c r="I45" s="61">
        <v>40860</v>
      </c>
      <c r="J45" s="62">
        <v>5</v>
      </c>
      <c r="K45" s="61">
        <v>38817</v>
      </c>
      <c r="L45" s="40" t="s">
        <v>22</v>
      </c>
      <c r="M45" s="40">
        <v>4.2</v>
      </c>
    </row>
    <row r="46" spans="1:13">
      <c r="A46" s="35">
        <v>44</v>
      </c>
      <c r="B46" s="63" t="s">
        <v>33</v>
      </c>
      <c r="C46" s="35">
        <v>2</v>
      </c>
      <c r="D46" s="63" t="s">
        <v>29</v>
      </c>
      <c r="E46" s="63" t="s">
        <v>30</v>
      </c>
      <c r="F46" s="63" t="s">
        <v>21</v>
      </c>
      <c r="G46" s="35">
        <v>548</v>
      </c>
      <c r="H46" s="36">
        <v>90</v>
      </c>
      <c r="I46" s="64">
        <v>49320</v>
      </c>
      <c r="J46" s="65">
        <v>10</v>
      </c>
      <c r="K46" s="64">
        <v>44388</v>
      </c>
      <c r="L46" s="35" t="s">
        <v>22</v>
      </c>
      <c r="M46" s="35">
        <v>4.2</v>
      </c>
    </row>
    <row r="47" spans="1:13">
      <c r="A47" s="40">
        <v>45</v>
      </c>
      <c r="B47" s="60" t="s">
        <v>33</v>
      </c>
      <c r="C47" s="40">
        <v>2</v>
      </c>
      <c r="D47" s="60" t="s">
        <v>31</v>
      </c>
      <c r="E47" s="60" t="s">
        <v>32</v>
      </c>
      <c r="F47" s="60" t="s">
        <v>17</v>
      </c>
      <c r="G47" s="40">
        <v>1191</v>
      </c>
      <c r="H47" s="41">
        <v>35</v>
      </c>
      <c r="I47" s="61">
        <v>41685</v>
      </c>
      <c r="J47" s="62">
        <v>0</v>
      </c>
      <c r="K47" s="61">
        <v>41685</v>
      </c>
      <c r="L47" s="40" t="s">
        <v>18</v>
      </c>
      <c r="M47" s="40">
        <v>4.7</v>
      </c>
    </row>
    <row r="48" spans="1:13">
      <c r="A48" s="35">
        <v>46</v>
      </c>
      <c r="B48" s="63" t="s">
        <v>33</v>
      </c>
      <c r="C48" s="35">
        <v>2</v>
      </c>
      <c r="D48" s="63" t="s">
        <v>31</v>
      </c>
      <c r="E48" s="63" t="s">
        <v>32</v>
      </c>
      <c r="F48" s="63" t="s">
        <v>19</v>
      </c>
      <c r="G48" s="35">
        <v>1154</v>
      </c>
      <c r="H48" s="36">
        <v>35</v>
      </c>
      <c r="I48" s="64">
        <v>40390</v>
      </c>
      <c r="J48" s="65">
        <v>0</v>
      </c>
      <c r="K48" s="64">
        <v>40390</v>
      </c>
      <c r="L48" s="35" t="s">
        <v>18</v>
      </c>
      <c r="M48" s="35">
        <v>4.3</v>
      </c>
    </row>
    <row r="49" spans="1:13">
      <c r="A49" s="40">
        <v>47</v>
      </c>
      <c r="B49" s="60" t="s">
        <v>33</v>
      </c>
      <c r="C49" s="40">
        <v>2</v>
      </c>
      <c r="D49" s="60" t="s">
        <v>31</v>
      </c>
      <c r="E49" s="60" t="s">
        <v>32</v>
      </c>
      <c r="F49" s="60" t="s">
        <v>20</v>
      </c>
      <c r="G49" s="40">
        <v>937</v>
      </c>
      <c r="H49" s="41">
        <v>35</v>
      </c>
      <c r="I49" s="61">
        <v>32795</v>
      </c>
      <c r="J49" s="62">
        <v>0</v>
      </c>
      <c r="K49" s="61">
        <v>32795</v>
      </c>
      <c r="L49" s="40" t="s">
        <v>18</v>
      </c>
      <c r="M49" s="40">
        <v>4</v>
      </c>
    </row>
    <row r="50" spans="1:13">
      <c r="A50" s="35">
        <v>48</v>
      </c>
      <c r="B50" s="63" t="s">
        <v>33</v>
      </c>
      <c r="C50" s="35">
        <v>2</v>
      </c>
      <c r="D50" s="63" t="s">
        <v>31</v>
      </c>
      <c r="E50" s="63" t="s">
        <v>32</v>
      </c>
      <c r="F50" s="63" t="s">
        <v>21</v>
      </c>
      <c r="G50" s="35">
        <v>1248</v>
      </c>
      <c r="H50" s="36">
        <v>35</v>
      </c>
      <c r="I50" s="64">
        <v>43680</v>
      </c>
      <c r="J50" s="65">
        <v>0</v>
      </c>
      <c r="K50" s="64">
        <v>43680</v>
      </c>
      <c r="L50" s="35" t="s">
        <v>18</v>
      </c>
      <c r="M50" s="35">
        <v>4.2</v>
      </c>
    </row>
    <row r="51" spans="1:13">
      <c r="A51" s="40">
        <v>49</v>
      </c>
      <c r="B51" s="60" t="s">
        <v>34</v>
      </c>
      <c r="C51" s="40">
        <v>3</v>
      </c>
      <c r="D51" s="60" t="s">
        <v>15</v>
      </c>
      <c r="E51" s="60" t="s">
        <v>16</v>
      </c>
      <c r="F51" s="60" t="s">
        <v>17</v>
      </c>
      <c r="G51" s="40">
        <v>1655</v>
      </c>
      <c r="H51" s="41">
        <v>45</v>
      </c>
      <c r="I51" s="61">
        <v>74475</v>
      </c>
      <c r="J51" s="62">
        <v>0</v>
      </c>
      <c r="K51" s="61">
        <v>74475</v>
      </c>
      <c r="L51" s="40" t="s">
        <v>18</v>
      </c>
      <c r="M51" s="40">
        <v>3.9</v>
      </c>
    </row>
    <row r="52" spans="1:13">
      <c r="A52" s="35">
        <v>50</v>
      </c>
      <c r="B52" s="63" t="s">
        <v>34</v>
      </c>
      <c r="C52" s="35">
        <v>3</v>
      </c>
      <c r="D52" s="63" t="s">
        <v>15</v>
      </c>
      <c r="E52" s="63" t="s">
        <v>16</v>
      </c>
      <c r="F52" s="63" t="s">
        <v>19</v>
      </c>
      <c r="G52" s="35">
        <v>1826</v>
      </c>
      <c r="H52" s="36">
        <v>45</v>
      </c>
      <c r="I52" s="64">
        <v>82170</v>
      </c>
      <c r="J52" s="65">
        <v>0</v>
      </c>
      <c r="K52" s="64">
        <v>82170</v>
      </c>
      <c r="L52" s="35" t="s">
        <v>18</v>
      </c>
      <c r="M52" s="35">
        <v>3.9</v>
      </c>
    </row>
    <row r="53" spans="1:13">
      <c r="A53" s="40">
        <v>51</v>
      </c>
      <c r="B53" s="60" t="s">
        <v>34</v>
      </c>
      <c r="C53" s="40">
        <v>3</v>
      </c>
      <c r="D53" s="60" t="s">
        <v>15</v>
      </c>
      <c r="E53" s="60" t="s">
        <v>16</v>
      </c>
      <c r="F53" s="60" t="s">
        <v>20</v>
      </c>
      <c r="G53" s="40">
        <v>1307</v>
      </c>
      <c r="H53" s="41">
        <v>45</v>
      </c>
      <c r="I53" s="61">
        <v>58815</v>
      </c>
      <c r="J53" s="62">
        <v>0</v>
      </c>
      <c r="K53" s="61">
        <v>58815</v>
      </c>
      <c r="L53" s="40" t="s">
        <v>18</v>
      </c>
      <c r="M53" s="40">
        <v>4.4</v>
      </c>
    </row>
    <row r="54" spans="1:13">
      <c r="A54" s="35">
        <v>52</v>
      </c>
      <c r="B54" s="63" t="s">
        <v>34</v>
      </c>
      <c r="C54" s="35">
        <v>3</v>
      </c>
      <c r="D54" s="63" t="s">
        <v>15</v>
      </c>
      <c r="E54" s="63" t="s">
        <v>16</v>
      </c>
      <c r="F54" s="63" t="s">
        <v>21</v>
      </c>
      <c r="G54" s="35">
        <v>1907</v>
      </c>
      <c r="H54" s="36">
        <v>45</v>
      </c>
      <c r="I54" s="64">
        <v>85815</v>
      </c>
      <c r="J54" s="65">
        <v>0</v>
      </c>
      <c r="K54" s="64">
        <v>85815</v>
      </c>
      <c r="L54" s="35" t="s">
        <v>18</v>
      </c>
      <c r="M54" s="35">
        <v>4.7</v>
      </c>
    </row>
    <row r="55" spans="1:13">
      <c r="A55" s="40">
        <v>53</v>
      </c>
      <c r="B55" s="60" t="s">
        <v>34</v>
      </c>
      <c r="C55" s="40">
        <v>3</v>
      </c>
      <c r="D55" s="60" t="s">
        <v>23</v>
      </c>
      <c r="E55" s="60" t="s">
        <v>24</v>
      </c>
      <c r="F55" s="60" t="s">
        <v>17</v>
      </c>
      <c r="G55" s="40">
        <v>862</v>
      </c>
      <c r="H55" s="41">
        <v>125</v>
      </c>
      <c r="I55" s="61">
        <v>107750</v>
      </c>
      <c r="J55" s="62">
        <v>10</v>
      </c>
      <c r="K55" s="61">
        <v>96975</v>
      </c>
      <c r="L55" s="40" t="s">
        <v>22</v>
      </c>
      <c r="M55" s="40">
        <v>4.2</v>
      </c>
    </row>
    <row r="56" spans="1:13">
      <c r="A56" s="35">
        <v>54</v>
      </c>
      <c r="B56" s="63" t="s">
        <v>34</v>
      </c>
      <c r="C56" s="35">
        <v>3</v>
      </c>
      <c r="D56" s="63" t="s">
        <v>23</v>
      </c>
      <c r="E56" s="63" t="s">
        <v>24</v>
      </c>
      <c r="F56" s="63" t="s">
        <v>19</v>
      </c>
      <c r="G56" s="35">
        <v>942</v>
      </c>
      <c r="H56" s="36">
        <v>125</v>
      </c>
      <c r="I56" s="64">
        <v>117750</v>
      </c>
      <c r="J56" s="65">
        <v>0</v>
      </c>
      <c r="K56" s="64">
        <v>117750</v>
      </c>
      <c r="L56" s="35" t="s">
        <v>18</v>
      </c>
      <c r="M56" s="35">
        <v>4.7</v>
      </c>
    </row>
    <row r="57" spans="1:13">
      <c r="A57" s="40">
        <v>55</v>
      </c>
      <c r="B57" s="60" t="s">
        <v>34</v>
      </c>
      <c r="C57" s="40">
        <v>3</v>
      </c>
      <c r="D57" s="60" t="s">
        <v>23</v>
      </c>
      <c r="E57" s="60" t="s">
        <v>24</v>
      </c>
      <c r="F57" s="60" t="s">
        <v>20</v>
      </c>
      <c r="G57" s="40">
        <v>683</v>
      </c>
      <c r="H57" s="41">
        <v>125</v>
      </c>
      <c r="I57" s="61">
        <v>85375</v>
      </c>
      <c r="J57" s="62">
        <v>0</v>
      </c>
      <c r="K57" s="61">
        <v>85375</v>
      </c>
      <c r="L57" s="40" t="s">
        <v>18</v>
      </c>
      <c r="M57" s="40">
        <v>4.2</v>
      </c>
    </row>
    <row r="58" spans="1:13">
      <c r="A58" s="35">
        <v>56</v>
      </c>
      <c r="B58" s="63" t="s">
        <v>34</v>
      </c>
      <c r="C58" s="35">
        <v>3</v>
      </c>
      <c r="D58" s="63" t="s">
        <v>23</v>
      </c>
      <c r="E58" s="63" t="s">
        <v>24</v>
      </c>
      <c r="F58" s="63" t="s">
        <v>21</v>
      </c>
      <c r="G58" s="35">
        <v>784</v>
      </c>
      <c r="H58" s="36">
        <v>125</v>
      </c>
      <c r="I58" s="64">
        <v>98000</v>
      </c>
      <c r="J58" s="65">
        <v>0</v>
      </c>
      <c r="K58" s="64">
        <v>98000</v>
      </c>
      <c r="L58" s="35" t="s">
        <v>18</v>
      </c>
      <c r="M58" s="35">
        <v>4.5</v>
      </c>
    </row>
    <row r="59" spans="1:13">
      <c r="A59" s="40">
        <v>57</v>
      </c>
      <c r="B59" s="60" t="s">
        <v>34</v>
      </c>
      <c r="C59" s="40">
        <v>3</v>
      </c>
      <c r="D59" s="60" t="s">
        <v>25</v>
      </c>
      <c r="E59" s="60" t="s">
        <v>26</v>
      </c>
      <c r="F59" s="60" t="s">
        <v>17</v>
      </c>
      <c r="G59" s="40">
        <v>1089</v>
      </c>
      <c r="H59" s="41">
        <v>80</v>
      </c>
      <c r="I59" s="61">
        <v>87120</v>
      </c>
      <c r="J59" s="62">
        <v>0</v>
      </c>
      <c r="K59" s="61">
        <v>87120</v>
      </c>
      <c r="L59" s="40" t="s">
        <v>18</v>
      </c>
      <c r="M59" s="40">
        <v>4.7</v>
      </c>
    </row>
    <row r="60" spans="1:13">
      <c r="A60" s="35">
        <v>58</v>
      </c>
      <c r="B60" s="63" t="s">
        <v>34</v>
      </c>
      <c r="C60" s="35">
        <v>3</v>
      </c>
      <c r="D60" s="63" t="s">
        <v>25</v>
      </c>
      <c r="E60" s="63" t="s">
        <v>26</v>
      </c>
      <c r="F60" s="63" t="s">
        <v>19</v>
      </c>
      <c r="G60" s="35">
        <v>977</v>
      </c>
      <c r="H60" s="36">
        <v>80</v>
      </c>
      <c r="I60" s="64">
        <v>78160</v>
      </c>
      <c r="J60" s="65">
        <v>5</v>
      </c>
      <c r="K60" s="64">
        <v>74252</v>
      </c>
      <c r="L60" s="35" t="s">
        <v>22</v>
      </c>
      <c r="M60" s="35">
        <v>4.5</v>
      </c>
    </row>
    <row r="61" spans="1:13">
      <c r="A61" s="40">
        <v>59</v>
      </c>
      <c r="B61" s="60" t="s">
        <v>34</v>
      </c>
      <c r="C61" s="40">
        <v>3</v>
      </c>
      <c r="D61" s="60" t="s">
        <v>25</v>
      </c>
      <c r="E61" s="60" t="s">
        <v>26</v>
      </c>
      <c r="F61" s="60" t="s">
        <v>20</v>
      </c>
      <c r="G61" s="40">
        <v>807</v>
      </c>
      <c r="H61" s="41">
        <v>80</v>
      </c>
      <c r="I61" s="61">
        <v>64560</v>
      </c>
      <c r="J61" s="62">
        <v>0</v>
      </c>
      <c r="K61" s="61">
        <v>64560</v>
      </c>
      <c r="L61" s="40" t="s">
        <v>18</v>
      </c>
      <c r="M61" s="40">
        <v>3.8</v>
      </c>
    </row>
    <row r="62" spans="1:13">
      <c r="A62" s="35">
        <v>60</v>
      </c>
      <c r="B62" s="63" t="s">
        <v>34</v>
      </c>
      <c r="C62" s="35">
        <v>3</v>
      </c>
      <c r="D62" s="63" t="s">
        <v>25</v>
      </c>
      <c r="E62" s="63" t="s">
        <v>26</v>
      </c>
      <c r="F62" s="63" t="s">
        <v>21</v>
      </c>
      <c r="G62" s="35">
        <v>970</v>
      </c>
      <c r="H62" s="36">
        <v>80</v>
      </c>
      <c r="I62" s="64">
        <v>77600</v>
      </c>
      <c r="J62" s="65">
        <v>0</v>
      </c>
      <c r="K62" s="64">
        <v>77600</v>
      </c>
      <c r="L62" s="35" t="s">
        <v>18</v>
      </c>
      <c r="M62" s="35">
        <v>3.8</v>
      </c>
    </row>
    <row r="63" spans="1:13">
      <c r="A63" s="40">
        <v>61</v>
      </c>
      <c r="B63" s="60" t="s">
        <v>34</v>
      </c>
      <c r="C63" s="40">
        <v>3</v>
      </c>
      <c r="D63" s="60" t="s">
        <v>27</v>
      </c>
      <c r="E63" s="60" t="s">
        <v>28</v>
      </c>
      <c r="F63" s="60" t="s">
        <v>17</v>
      </c>
      <c r="G63" s="40">
        <v>2426</v>
      </c>
      <c r="H63" s="41">
        <v>25</v>
      </c>
      <c r="I63" s="61">
        <v>60650</v>
      </c>
      <c r="J63" s="62">
        <v>0</v>
      </c>
      <c r="K63" s="61">
        <v>60650</v>
      </c>
      <c r="L63" s="40" t="s">
        <v>18</v>
      </c>
      <c r="M63" s="40">
        <v>3.7</v>
      </c>
    </row>
    <row r="64" spans="1:13">
      <c r="A64" s="35">
        <v>62</v>
      </c>
      <c r="B64" s="63" t="s">
        <v>34</v>
      </c>
      <c r="C64" s="35">
        <v>3</v>
      </c>
      <c r="D64" s="63" t="s">
        <v>27</v>
      </c>
      <c r="E64" s="63" t="s">
        <v>28</v>
      </c>
      <c r="F64" s="63" t="s">
        <v>19</v>
      </c>
      <c r="G64" s="35">
        <v>2372</v>
      </c>
      <c r="H64" s="36">
        <v>25</v>
      </c>
      <c r="I64" s="64">
        <v>59300</v>
      </c>
      <c r="J64" s="65">
        <v>0</v>
      </c>
      <c r="K64" s="64">
        <v>59300</v>
      </c>
      <c r="L64" s="35" t="s">
        <v>18</v>
      </c>
      <c r="M64" s="35">
        <v>3.7</v>
      </c>
    </row>
    <row r="65" spans="1:13">
      <c r="A65" s="40">
        <v>63</v>
      </c>
      <c r="B65" s="60" t="s">
        <v>34</v>
      </c>
      <c r="C65" s="40">
        <v>3</v>
      </c>
      <c r="D65" s="60" t="s">
        <v>27</v>
      </c>
      <c r="E65" s="60" t="s">
        <v>28</v>
      </c>
      <c r="F65" s="60" t="s">
        <v>20</v>
      </c>
      <c r="G65" s="40">
        <v>1798</v>
      </c>
      <c r="H65" s="41">
        <v>25</v>
      </c>
      <c r="I65" s="61">
        <v>44950</v>
      </c>
      <c r="J65" s="62">
        <v>0</v>
      </c>
      <c r="K65" s="61">
        <v>44950</v>
      </c>
      <c r="L65" s="40" t="s">
        <v>18</v>
      </c>
      <c r="M65" s="40">
        <v>3.6</v>
      </c>
    </row>
    <row r="66" spans="1:13">
      <c r="A66" s="35">
        <v>64</v>
      </c>
      <c r="B66" s="63" t="s">
        <v>34</v>
      </c>
      <c r="C66" s="35">
        <v>3</v>
      </c>
      <c r="D66" s="63" t="s">
        <v>27</v>
      </c>
      <c r="E66" s="63" t="s">
        <v>28</v>
      </c>
      <c r="F66" s="63" t="s">
        <v>21</v>
      </c>
      <c r="G66" s="35">
        <v>1955</v>
      </c>
      <c r="H66" s="36">
        <v>25</v>
      </c>
      <c r="I66" s="64">
        <v>48875</v>
      </c>
      <c r="J66" s="65">
        <v>10</v>
      </c>
      <c r="K66" s="64">
        <v>43988</v>
      </c>
      <c r="L66" s="35" t="s">
        <v>22</v>
      </c>
      <c r="M66" s="35">
        <v>4.2</v>
      </c>
    </row>
    <row r="67" spans="1:13">
      <c r="A67" s="40">
        <v>65</v>
      </c>
      <c r="B67" s="60" t="s">
        <v>34</v>
      </c>
      <c r="C67" s="40">
        <v>3</v>
      </c>
      <c r="D67" s="60" t="s">
        <v>29</v>
      </c>
      <c r="E67" s="60" t="s">
        <v>30</v>
      </c>
      <c r="F67" s="60" t="s">
        <v>17</v>
      </c>
      <c r="G67" s="40">
        <v>691</v>
      </c>
      <c r="H67" s="41">
        <v>90</v>
      </c>
      <c r="I67" s="61">
        <v>62190</v>
      </c>
      <c r="J67" s="62">
        <v>0</v>
      </c>
      <c r="K67" s="61">
        <v>62190</v>
      </c>
      <c r="L67" s="40" t="s">
        <v>18</v>
      </c>
      <c r="M67" s="40">
        <v>3.7</v>
      </c>
    </row>
    <row r="68" spans="1:13">
      <c r="A68" s="35">
        <v>66</v>
      </c>
      <c r="B68" s="63" t="s">
        <v>34</v>
      </c>
      <c r="C68" s="35">
        <v>3</v>
      </c>
      <c r="D68" s="63" t="s">
        <v>29</v>
      </c>
      <c r="E68" s="63" t="s">
        <v>30</v>
      </c>
      <c r="F68" s="63" t="s">
        <v>19</v>
      </c>
      <c r="G68" s="35">
        <v>776</v>
      </c>
      <c r="H68" s="36">
        <v>90</v>
      </c>
      <c r="I68" s="64">
        <v>69840</v>
      </c>
      <c r="J68" s="65">
        <v>0</v>
      </c>
      <c r="K68" s="64">
        <v>69840</v>
      </c>
      <c r="L68" s="35" t="s">
        <v>18</v>
      </c>
      <c r="M68" s="35">
        <v>3.9</v>
      </c>
    </row>
    <row r="69" spans="1:13">
      <c r="A69" s="40">
        <v>67</v>
      </c>
      <c r="B69" s="60" t="s">
        <v>34</v>
      </c>
      <c r="C69" s="40">
        <v>3</v>
      </c>
      <c r="D69" s="60" t="s">
        <v>29</v>
      </c>
      <c r="E69" s="60" t="s">
        <v>30</v>
      </c>
      <c r="F69" s="60" t="s">
        <v>20</v>
      </c>
      <c r="G69" s="40">
        <v>560</v>
      </c>
      <c r="H69" s="41">
        <v>90</v>
      </c>
      <c r="I69" s="61">
        <v>50400</v>
      </c>
      <c r="J69" s="62">
        <v>0</v>
      </c>
      <c r="K69" s="61">
        <v>50400</v>
      </c>
      <c r="L69" s="40" t="s">
        <v>18</v>
      </c>
      <c r="M69" s="40">
        <v>4.1</v>
      </c>
    </row>
    <row r="70" spans="1:13">
      <c r="A70" s="35">
        <v>68</v>
      </c>
      <c r="B70" s="63" t="s">
        <v>34</v>
      </c>
      <c r="C70" s="35">
        <v>3</v>
      </c>
      <c r="D70" s="63" t="s">
        <v>29</v>
      </c>
      <c r="E70" s="63" t="s">
        <v>30</v>
      </c>
      <c r="F70" s="63" t="s">
        <v>21</v>
      </c>
      <c r="G70" s="35">
        <v>756</v>
      </c>
      <c r="H70" s="36">
        <v>90</v>
      </c>
      <c r="I70" s="64">
        <v>68040</v>
      </c>
      <c r="J70" s="65">
        <v>0</v>
      </c>
      <c r="K70" s="64">
        <v>68040</v>
      </c>
      <c r="L70" s="35" t="s">
        <v>18</v>
      </c>
      <c r="M70" s="35">
        <v>4.3</v>
      </c>
    </row>
    <row r="71" spans="1:13">
      <c r="A71" s="40">
        <v>69</v>
      </c>
      <c r="B71" s="60" t="s">
        <v>34</v>
      </c>
      <c r="C71" s="40">
        <v>3</v>
      </c>
      <c r="D71" s="60" t="s">
        <v>31</v>
      </c>
      <c r="E71" s="60" t="s">
        <v>32</v>
      </c>
      <c r="F71" s="60" t="s">
        <v>17</v>
      </c>
      <c r="G71" s="40">
        <v>1299</v>
      </c>
      <c r="H71" s="41">
        <v>35</v>
      </c>
      <c r="I71" s="61">
        <v>45465</v>
      </c>
      <c r="J71" s="62">
        <v>0</v>
      </c>
      <c r="K71" s="61">
        <v>45465</v>
      </c>
      <c r="L71" s="40" t="s">
        <v>18</v>
      </c>
      <c r="M71" s="40">
        <v>4</v>
      </c>
    </row>
    <row r="72" spans="1:13">
      <c r="A72" s="35">
        <v>70</v>
      </c>
      <c r="B72" s="63" t="s">
        <v>34</v>
      </c>
      <c r="C72" s="35">
        <v>3</v>
      </c>
      <c r="D72" s="63" t="s">
        <v>31</v>
      </c>
      <c r="E72" s="63" t="s">
        <v>32</v>
      </c>
      <c r="F72" s="63" t="s">
        <v>19</v>
      </c>
      <c r="G72" s="35">
        <v>1417</v>
      </c>
      <c r="H72" s="36">
        <v>35</v>
      </c>
      <c r="I72" s="64">
        <v>49595</v>
      </c>
      <c r="J72" s="65">
        <v>0</v>
      </c>
      <c r="K72" s="64">
        <v>49595</v>
      </c>
      <c r="L72" s="35" t="s">
        <v>18</v>
      </c>
      <c r="M72" s="35">
        <v>4.3</v>
      </c>
    </row>
    <row r="73" spans="1:13">
      <c r="A73" s="40">
        <v>71</v>
      </c>
      <c r="B73" s="60" t="s">
        <v>34</v>
      </c>
      <c r="C73" s="40">
        <v>3</v>
      </c>
      <c r="D73" s="60" t="s">
        <v>31</v>
      </c>
      <c r="E73" s="60" t="s">
        <v>32</v>
      </c>
      <c r="F73" s="60" t="s">
        <v>20</v>
      </c>
      <c r="G73" s="40">
        <v>1012</v>
      </c>
      <c r="H73" s="41">
        <v>35</v>
      </c>
      <c r="I73" s="61">
        <v>35420</v>
      </c>
      <c r="J73" s="62">
        <v>0</v>
      </c>
      <c r="K73" s="61">
        <v>35420</v>
      </c>
      <c r="L73" s="40" t="s">
        <v>18</v>
      </c>
      <c r="M73" s="40">
        <v>4.4</v>
      </c>
    </row>
    <row r="74" spans="1:13">
      <c r="A74" s="35">
        <v>72</v>
      </c>
      <c r="B74" s="63" t="s">
        <v>34</v>
      </c>
      <c r="C74" s="35">
        <v>3</v>
      </c>
      <c r="D74" s="63" t="s">
        <v>31</v>
      </c>
      <c r="E74" s="63" t="s">
        <v>32</v>
      </c>
      <c r="F74" s="63" t="s">
        <v>21</v>
      </c>
      <c r="G74" s="35">
        <v>1466</v>
      </c>
      <c r="H74" s="36">
        <v>35</v>
      </c>
      <c r="I74" s="64">
        <v>51310</v>
      </c>
      <c r="J74" s="65">
        <v>0</v>
      </c>
      <c r="K74" s="64">
        <v>51310</v>
      </c>
      <c r="L74" s="35" t="s">
        <v>18</v>
      </c>
      <c r="M74" s="35">
        <v>3.8</v>
      </c>
    </row>
    <row r="75" spans="1:13">
      <c r="A75" s="40">
        <v>73</v>
      </c>
      <c r="B75" s="60" t="s">
        <v>35</v>
      </c>
      <c r="C75" s="40">
        <v>4</v>
      </c>
      <c r="D75" s="60" t="s">
        <v>15</v>
      </c>
      <c r="E75" s="60" t="s">
        <v>16</v>
      </c>
      <c r="F75" s="60" t="s">
        <v>17</v>
      </c>
      <c r="G75" s="40">
        <v>1869</v>
      </c>
      <c r="H75" s="41">
        <v>45</v>
      </c>
      <c r="I75" s="61">
        <v>84105</v>
      </c>
      <c r="J75" s="62">
        <v>0</v>
      </c>
      <c r="K75" s="61">
        <v>84105</v>
      </c>
      <c r="L75" s="40" t="s">
        <v>18</v>
      </c>
      <c r="M75" s="40">
        <v>3.8</v>
      </c>
    </row>
    <row r="76" spans="1:13">
      <c r="A76" s="35">
        <v>74</v>
      </c>
      <c r="B76" s="63" t="s">
        <v>35</v>
      </c>
      <c r="C76" s="35">
        <v>4</v>
      </c>
      <c r="D76" s="63" t="s">
        <v>15</v>
      </c>
      <c r="E76" s="63" t="s">
        <v>16</v>
      </c>
      <c r="F76" s="63" t="s">
        <v>19</v>
      </c>
      <c r="G76" s="35">
        <v>2127</v>
      </c>
      <c r="H76" s="36">
        <v>45</v>
      </c>
      <c r="I76" s="64">
        <v>95715</v>
      </c>
      <c r="J76" s="65">
        <v>0</v>
      </c>
      <c r="K76" s="64">
        <v>95715</v>
      </c>
      <c r="L76" s="35" t="s">
        <v>18</v>
      </c>
      <c r="M76" s="35">
        <v>3.9</v>
      </c>
    </row>
    <row r="77" spans="1:13">
      <c r="A77" s="40">
        <v>75</v>
      </c>
      <c r="B77" s="60" t="s">
        <v>35</v>
      </c>
      <c r="C77" s="40">
        <v>4</v>
      </c>
      <c r="D77" s="60" t="s">
        <v>15</v>
      </c>
      <c r="E77" s="60" t="s">
        <v>16</v>
      </c>
      <c r="F77" s="60" t="s">
        <v>20</v>
      </c>
      <c r="G77" s="40">
        <v>1694</v>
      </c>
      <c r="H77" s="41">
        <v>45</v>
      </c>
      <c r="I77" s="61">
        <v>76230</v>
      </c>
      <c r="J77" s="62">
        <v>10</v>
      </c>
      <c r="K77" s="61">
        <v>68607</v>
      </c>
      <c r="L77" s="40" t="s">
        <v>22</v>
      </c>
      <c r="M77" s="40">
        <v>3.7</v>
      </c>
    </row>
    <row r="78" spans="1:13">
      <c r="A78" s="35">
        <v>76</v>
      </c>
      <c r="B78" s="63" t="s">
        <v>35</v>
      </c>
      <c r="C78" s="35">
        <v>4</v>
      </c>
      <c r="D78" s="63" t="s">
        <v>15</v>
      </c>
      <c r="E78" s="63" t="s">
        <v>16</v>
      </c>
      <c r="F78" s="63" t="s">
        <v>21</v>
      </c>
      <c r="G78" s="35">
        <v>2191</v>
      </c>
      <c r="H78" s="36">
        <v>45</v>
      </c>
      <c r="I78" s="64">
        <v>98595</v>
      </c>
      <c r="J78" s="65">
        <v>15</v>
      </c>
      <c r="K78" s="64">
        <v>83806</v>
      </c>
      <c r="L78" s="35" t="s">
        <v>22</v>
      </c>
      <c r="M78" s="35">
        <v>3.9</v>
      </c>
    </row>
    <row r="79" spans="1:13">
      <c r="A79" s="40">
        <v>77</v>
      </c>
      <c r="B79" s="60" t="s">
        <v>35</v>
      </c>
      <c r="C79" s="40">
        <v>4</v>
      </c>
      <c r="D79" s="60" t="s">
        <v>23</v>
      </c>
      <c r="E79" s="60" t="s">
        <v>24</v>
      </c>
      <c r="F79" s="60" t="s">
        <v>17</v>
      </c>
      <c r="G79" s="40">
        <v>974</v>
      </c>
      <c r="H79" s="41">
        <v>125</v>
      </c>
      <c r="I79" s="61">
        <v>121750</v>
      </c>
      <c r="J79" s="62">
        <v>0</v>
      </c>
      <c r="K79" s="61">
        <v>121750</v>
      </c>
      <c r="L79" s="40" t="s">
        <v>18</v>
      </c>
      <c r="M79" s="40">
        <v>4.1</v>
      </c>
    </row>
    <row r="80" spans="1:13">
      <c r="A80" s="35">
        <v>78</v>
      </c>
      <c r="B80" s="63" t="s">
        <v>35</v>
      </c>
      <c r="C80" s="35">
        <v>4</v>
      </c>
      <c r="D80" s="63" t="s">
        <v>23</v>
      </c>
      <c r="E80" s="63" t="s">
        <v>24</v>
      </c>
      <c r="F80" s="63" t="s">
        <v>19</v>
      </c>
      <c r="G80" s="35">
        <v>971</v>
      </c>
      <c r="H80" s="36">
        <v>125</v>
      </c>
      <c r="I80" s="64">
        <v>121375</v>
      </c>
      <c r="J80" s="65">
        <v>0</v>
      </c>
      <c r="K80" s="64">
        <v>121375</v>
      </c>
      <c r="L80" s="35" t="s">
        <v>18</v>
      </c>
      <c r="M80" s="35">
        <v>4</v>
      </c>
    </row>
    <row r="81" spans="1:13">
      <c r="A81" s="40">
        <v>79</v>
      </c>
      <c r="B81" s="60" t="s">
        <v>35</v>
      </c>
      <c r="C81" s="40">
        <v>4</v>
      </c>
      <c r="D81" s="60" t="s">
        <v>23</v>
      </c>
      <c r="E81" s="60" t="s">
        <v>24</v>
      </c>
      <c r="F81" s="60" t="s">
        <v>20</v>
      </c>
      <c r="G81" s="40">
        <v>746</v>
      </c>
      <c r="H81" s="41">
        <v>125</v>
      </c>
      <c r="I81" s="61">
        <v>93250</v>
      </c>
      <c r="J81" s="62">
        <v>0</v>
      </c>
      <c r="K81" s="61">
        <v>93250</v>
      </c>
      <c r="L81" s="40" t="s">
        <v>18</v>
      </c>
      <c r="M81" s="40">
        <v>4.2</v>
      </c>
    </row>
    <row r="82" spans="1:13">
      <c r="A82" s="35">
        <v>80</v>
      </c>
      <c r="B82" s="63" t="s">
        <v>35</v>
      </c>
      <c r="C82" s="35">
        <v>4</v>
      </c>
      <c r="D82" s="63" t="s">
        <v>23</v>
      </c>
      <c r="E82" s="63" t="s">
        <v>24</v>
      </c>
      <c r="F82" s="63" t="s">
        <v>21</v>
      </c>
      <c r="G82" s="35">
        <v>1110</v>
      </c>
      <c r="H82" s="36">
        <v>125</v>
      </c>
      <c r="I82" s="64">
        <v>138750</v>
      </c>
      <c r="J82" s="65">
        <v>0</v>
      </c>
      <c r="K82" s="64">
        <v>138750</v>
      </c>
      <c r="L82" s="35" t="s">
        <v>18</v>
      </c>
      <c r="M82" s="35">
        <v>3.7</v>
      </c>
    </row>
    <row r="83" spans="1:13">
      <c r="A83" s="40">
        <v>81</v>
      </c>
      <c r="B83" s="60" t="s">
        <v>35</v>
      </c>
      <c r="C83" s="40">
        <v>4</v>
      </c>
      <c r="D83" s="60" t="s">
        <v>25</v>
      </c>
      <c r="E83" s="60" t="s">
        <v>26</v>
      </c>
      <c r="F83" s="60" t="s">
        <v>17</v>
      </c>
      <c r="G83" s="40">
        <v>1198</v>
      </c>
      <c r="H83" s="41">
        <v>80</v>
      </c>
      <c r="I83" s="61">
        <v>95840</v>
      </c>
      <c r="J83" s="62">
        <v>0</v>
      </c>
      <c r="K83" s="61">
        <v>95840</v>
      </c>
      <c r="L83" s="40" t="s">
        <v>18</v>
      </c>
      <c r="M83" s="40">
        <v>4.8</v>
      </c>
    </row>
    <row r="84" spans="1:13">
      <c r="A84" s="35">
        <v>82</v>
      </c>
      <c r="B84" s="63" t="s">
        <v>35</v>
      </c>
      <c r="C84" s="35">
        <v>4</v>
      </c>
      <c r="D84" s="63" t="s">
        <v>25</v>
      </c>
      <c r="E84" s="63" t="s">
        <v>26</v>
      </c>
      <c r="F84" s="63" t="s">
        <v>19</v>
      </c>
      <c r="G84" s="35">
        <v>1360</v>
      </c>
      <c r="H84" s="36">
        <v>80</v>
      </c>
      <c r="I84" s="64">
        <v>108800</v>
      </c>
      <c r="J84" s="65">
        <v>0</v>
      </c>
      <c r="K84" s="64">
        <v>108800</v>
      </c>
      <c r="L84" s="35" t="s">
        <v>18</v>
      </c>
      <c r="M84" s="35">
        <v>4.1</v>
      </c>
    </row>
    <row r="85" spans="1:13">
      <c r="A85" s="40">
        <v>83</v>
      </c>
      <c r="B85" s="60" t="s">
        <v>35</v>
      </c>
      <c r="C85" s="40">
        <v>4</v>
      </c>
      <c r="D85" s="60" t="s">
        <v>25</v>
      </c>
      <c r="E85" s="60" t="s">
        <v>26</v>
      </c>
      <c r="F85" s="60" t="s">
        <v>20</v>
      </c>
      <c r="G85" s="40">
        <v>1043</v>
      </c>
      <c r="H85" s="41">
        <v>80</v>
      </c>
      <c r="I85" s="61">
        <v>83440</v>
      </c>
      <c r="J85" s="62">
        <v>15</v>
      </c>
      <c r="K85" s="61">
        <v>70924</v>
      </c>
      <c r="L85" s="40" t="s">
        <v>22</v>
      </c>
      <c r="M85" s="40">
        <v>4.9</v>
      </c>
    </row>
    <row r="86" spans="1:13">
      <c r="A86" s="35">
        <v>84</v>
      </c>
      <c r="B86" s="63" t="s">
        <v>35</v>
      </c>
      <c r="C86" s="35">
        <v>4</v>
      </c>
      <c r="D86" s="63" t="s">
        <v>25</v>
      </c>
      <c r="E86" s="63" t="s">
        <v>26</v>
      </c>
      <c r="F86" s="63" t="s">
        <v>21</v>
      </c>
      <c r="G86" s="35">
        <v>1069</v>
      </c>
      <c r="H86" s="36">
        <v>80</v>
      </c>
      <c r="I86" s="64">
        <v>85520</v>
      </c>
      <c r="J86" s="65">
        <v>0</v>
      </c>
      <c r="K86" s="64">
        <v>85520</v>
      </c>
      <c r="L86" s="35" t="s">
        <v>18</v>
      </c>
      <c r="M86" s="35">
        <v>4.7</v>
      </c>
    </row>
    <row r="87" spans="1:13">
      <c r="A87" s="40">
        <v>85</v>
      </c>
      <c r="B87" s="60" t="s">
        <v>35</v>
      </c>
      <c r="C87" s="40">
        <v>4</v>
      </c>
      <c r="D87" s="60" t="s">
        <v>27</v>
      </c>
      <c r="E87" s="60" t="s">
        <v>28</v>
      </c>
      <c r="F87" s="60" t="s">
        <v>17</v>
      </c>
      <c r="G87" s="40">
        <v>2640</v>
      </c>
      <c r="H87" s="41">
        <v>25</v>
      </c>
      <c r="I87" s="61">
        <v>66000</v>
      </c>
      <c r="J87" s="62">
        <v>0</v>
      </c>
      <c r="K87" s="61">
        <v>66000</v>
      </c>
      <c r="L87" s="40" t="s">
        <v>18</v>
      </c>
      <c r="M87" s="40">
        <v>4.8</v>
      </c>
    </row>
    <row r="88" spans="1:13">
      <c r="A88" s="35">
        <v>86</v>
      </c>
      <c r="B88" s="63" t="s">
        <v>35</v>
      </c>
      <c r="C88" s="35">
        <v>4</v>
      </c>
      <c r="D88" s="63" t="s">
        <v>27</v>
      </c>
      <c r="E88" s="63" t="s">
        <v>28</v>
      </c>
      <c r="F88" s="63" t="s">
        <v>19</v>
      </c>
      <c r="G88" s="35">
        <v>2728</v>
      </c>
      <c r="H88" s="36">
        <v>25</v>
      </c>
      <c r="I88" s="64">
        <v>68200</v>
      </c>
      <c r="J88" s="65">
        <v>5</v>
      </c>
      <c r="K88" s="64">
        <v>64790</v>
      </c>
      <c r="L88" s="35" t="s">
        <v>22</v>
      </c>
      <c r="M88" s="35">
        <v>4.6</v>
      </c>
    </row>
    <row r="89" spans="1:13">
      <c r="A89" s="40">
        <v>87</v>
      </c>
      <c r="B89" s="60" t="s">
        <v>35</v>
      </c>
      <c r="C89" s="40">
        <v>4</v>
      </c>
      <c r="D89" s="60" t="s">
        <v>27</v>
      </c>
      <c r="E89" s="60" t="s">
        <v>28</v>
      </c>
      <c r="F89" s="60" t="s">
        <v>20</v>
      </c>
      <c r="G89" s="40">
        <v>2083</v>
      </c>
      <c r="H89" s="41">
        <v>25</v>
      </c>
      <c r="I89" s="61">
        <v>52075</v>
      </c>
      <c r="J89" s="62">
        <v>15</v>
      </c>
      <c r="K89" s="61">
        <v>44264</v>
      </c>
      <c r="L89" s="40" t="s">
        <v>22</v>
      </c>
      <c r="M89" s="40">
        <v>4.5</v>
      </c>
    </row>
    <row r="90" spans="1:13">
      <c r="A90" s="35">
        <v>88</v>
      </c>
      <c r="B90" s="63" t="s">
        <v>35</v>
      </c>
      <c r="C90" s="35">
        <v>4</v>
      </c>
      <c r="D90" s="63" t="s">
        <v>27</v>
      </c>
      <c r="E90" s="63" t="s">
        <v>28</v>
      </c>
      <c r="F90" s="63" t="s">
        <v>21</v>
      </c>
      <c r="G90" s="35">
        <v>2503</v>
      </c>
      <c r="H90" s="36">
        <v>25</v>
      </c>
      <c r="I90" s="64">
        <v>62575</v>
      </c>
      <c r="J90" s="65">
        <v>0</v>
      </c>
      <c r="K90" s="64">
        <v>62575</v>
      </c>
      <c r="L90" s="35" t="s">
        <v>18</v>
      </c>
      <c r="M90" s="35">
        <v>3.9</v>
      </c>
    </row>
    <row r="91" spans="1:13">
      <c r="A91" s="40">
        <v>89</v>
      </c>
      <c r="B91" s="60" t="s">
        <v>35</v>
      </c>
      <c r="C91" s="40">
        <v>4</v>
      </c>
      <c r="D91" s="60" t="s">
        <v>29</v>
      </c>
      <c r="E91" s="60" t="s">
        <v>30</v>
      </c>
      <c r="F91" s="60" t="s">
        <v>17</v>
      </c>
      <c r="G91" s="40">
        <v>887</v>
      </c>
      <c r="H91" s="41">
        <v>90</v>
      </c>
      <c r="I91" s="61">
        <v>79830</v>
      </c>
      <c r="J91" s="62">
        <v>0</v>
      </c>
      <c r="K91" s="61">
        <v>79830</v>
      </c>
      <c r="L91" s="40" t="s">
        <v>18</v>
      </c>
      <c r="M91" s="40">
        <v>4.7</v>
      </c>
    </row>
    <row r="92" spans="1:13">
      <c r="A92" s="35">
        <v>90</v>
      </c>
      <c r="B92" s="63" t="s">
        <v>35</v>
      </c>
      <c r="C92" s="35">
        <v>4</v>
      </c>
      <c r="D92" s="63" t="s">
        <v>29</v>
      </c>
      <c r="E92" s="63" t="s">
        <v>30</v>
      </c>
      <c r="F92" s="63" t="s">
        <v>19</v>
      </c>
      <c r="G92" s="35">
        <v>856</v>
      </c>
      <c r="H92" s="36">
        <v>90</v>
      </c>
      <c r="I92" s="64">
        <v>77040</v>
      </c>
      <c r="J92" s="65">
        <v>20</v>
      </c>
      <c r="K92" s="64">
        <v>61632</v>
      </c>
      <c r="L92" s="35" t="s">
        <v>22</v>
      </c>
      <c r="M92" s="35">
        <v>3.7</v>
      </c>
    </row>
    <row r="93" spans="1:13">
      <c r="A93" s="40">
        <v>91</v>
      </c>
      <c r="B93" s="60" t="s">
        <v>35</v>
      </c>
      <c r="C93" s="40">
        <v>4</v>
      </c>
      <c r="D93" s="60" t="s">
        <v>29</v>
      </c>
      <c r="E93" s="60" t="s">
        <v>30</v>
      </c>
      <c r="F93" s="60" t="s">
        <v>20</v>
      </c>
      <c r="G93" s="40">
        <v>589</v>
      </c>
      <c r="H93" s="41">
        <v>90</v>
      </c>
      <c r="I93" s="61">
        <v>53010</v>
      </c>
      <c r="J93" s="62">
        <v>0</v>
      </c>
      <c r="K93" s="61">
        <v>53010</v>
      </c>
      <c r="L93" s="40" t="s">
        <v>18</v>
      </c>
      <c r="M93" s="40">
        <v>4.9</v>
      </c>
    </row>
    <row r="94" spans="1:13">
      <c r="A94" s="35">
        <v>92</v>
      </c>
      <c r="B94" s="63" t="s">
        <v>35</v>
      </c>
      <c r="C94" s="35">
        <v>4</v>
      </c>
      <c r="D94" s="63" t="s">
        <v>29</v>
      </c>
      <c r="E94" s="63" t="s">
        <v>30</v>
      </c>
      <c r="F94" s="63" t="s">
        <v>21</v>
      </c>
      <c r="G94" s="35">
        <v>781</v>
      </c>
      <c r="H94" s="36">
        <v>90</v>
      </c>
      <c r="I94" s="64">
        <v>70290</v>
      </c>
      <c r="J94" s="65">
        <v>20</v>
      </c>
      <c r="K94" s="64">
        <v>56232</v>
      </c>
      <c r="L94" s="35" t="s">
        <v>22</v>
      </c>
      <c r="M94" s="35">
        <v>4.2</v>
      </c>
    </row>
    <row r="95" spans="1:13">
      <c r="A95" s="40">
        <v>93</v>
      </c>
      <c r="B95" s="60" t="s">
        <v>35</v>
      </c>
      <c r="C95" s="40">
        <v>4</v>
      </c>
      <c r="D95" s="60" t="s">
        <v>31</v>
      </c>
      <c r="E95" s="60" t="s">
        <v>32</v>
      </c>
      <c r="F95" s="60" t="s">
        <v>17</v>
      </c>
      <c r="G95" s="40">
        <v>1789</v>
      </c>
      <c r="H95" s="41">
        <v>35</v>
      </c>
      <c r="I95" s="61">
        <v>62615</v>
      </c>
      <c r="J95" s="62">
        <v>5</v>
      </c>
      <c r="K95" s="61">
        <v>59484</v>
      </c>
      <c r="L95" s="40" t="s">
        <v>22</v>
      </c>
      <c r="M95" s="40">
        <v>4.5</v>
      </c>
    </row>
    <row r="96" spans="1:13">
      <c r="A96" s="35">
        <v>94</v>
      </c>
      <c r="B96" s="63" t="s">
        <v>35</v>
      </c>
      <c r="C96" s="35">
        <v>4</v>
      </c>
      <c r="D96" s="63" t="s">
        <v>31</v>
      </c>
      <c r="E96" s="63" t="s">
        <v>32</v>
      </c>
      <c r="F96" s="63" t="s">
        <v>19</v>
      </c>
      <c r="G96" s="35">
        <v>1715</v>
      </c>
      <c r="H96" s="36">
        <v>35</v>
      </c>
      <c r="I96" s="64">
        <v>60025</v>
      </c>
      <c r="J96" s="65">
        <v>5</v>
      </c>
      <c r="K96" s="64">
        <v>57024</v>
      </c>
      <c r="L96" s="35" t="s">
        <v>22</v>
      </c>
      <c r="M96" s="35">
        <v>4.4</v>
      </c>
    </row>
    <row r="97" spans="1:13">
      <c r="A97" s="40">
        <v>95</v>
      </c>
      <c r="B97" s="60" t="s">
        <v>35</v>
      </c>
      <c r="C97" s="40">
        <v>4</v>
      </c>
      <c r="D97" s="60" t="s">
        <v>31</v>
      </c>
      <c r="E97" s="60" t="s">
        <v>32</v>
      </c>
      <c r="F97" s="60" t="s">
        <v>20</v>
      </c>
      <c r="G97" s="40">
        <v>1151</v>
      </c>
      <c r="H97" s="41">
        <v>35</v>
      </c>
      <c r="I97" s="61">
        <v>40285</v>
      </c>
      <c r="J97" s="62">
        <v>10</v>
      </c>
      <c r="K97" s="61">
        <v>36256</v>
      </c>
      <c r="L97" s="40" t="s">
        <v>22</v>
      </c>
      <c r="M97" s="40">
        <v>4.1</v>
      </c>
    </row>
    <row r="98" spans="1:13">
      <c r="A98" s="35">
        <v>96</v>
      </c>
      <c r="B98" s="63" t="s">
        <v>35</v>
      </c>
      <c r="C98" s="35">
        <v>4</v>
      </c>
      <c r="D98" s="63" t="s">
        <v>31</v>
      </c>
      <c r="E98" s="63" t="s">
        <v>32</v>
      </c>
      <c r="F98" s="63" t="s">
        <v>21</v>
      </c>
      <c r="G98" s="35">
        <v>1718</v>
      </c>
      <c r="H98" s="36">
        <v>35</v>
      </c>
      <c r="I98" s="64">
        <v>60130</v>
      </c>
      <c r="J98" s="65">
        <v>0</v>
      </c>
      <c r="K98" s="64">
        <v>60130</v>
      </c>
      <c r="L98" s="35" t="s">
        <v>18</v>
      </c>
      <c r="M98" s="35">
        <v>3.7</v>
      </c>
    </row>
    <row r="99" spans="1:13">
      <c r="A99" s="40">
        <v>97</v>
      </c>
      <c r="B99" s="60" t="s">
        <v>36</v>
      </c>
      <c r="C99" s="40">
        <v>5</v>
      </c>
      <c r="D99" s="60" t="s">
        <v>15</v>
      </c>
      <c r="E99" s="60" t="s">
        <v>16</v>
      </c>
      <c r="F99" s="60" t="s">
        <v>17</v>
      </c>
      <c r="G99" s="40">
        <v>2479</v>
      </c>
      <c r="H99" s="41">
        <v>45</v>
      </c>
      <c r="I99" s="61">
        <v>111555</v>
      </c>
      <c r="J99" s="62">
        <v>0</v>
      </c>
      <c r="K99" s="61">
        <v>111555</v>
      </c>
      <c r="L99" s="40" t="s">
        <v>18</v>
      </c>
      <c r="M99" s="40">
        <v>4.5</v>
      </c>
    </row>
    <row r="100" spans="1:13">
      <c r="A100" s="35">
        <v>98</v>
      </c>
      <c r="B100" s="63" t="s">
        <v>36</v>
      </c>
      <c r="C100" s="35">
        <v>5</v>
      </c>
      <c r="D100" s="63" t="s">
        <v>15</v>
      </c>
      <c r="E100" s="63" t="s">
        <v>16</v>
      </c>
      <c r="F100" s="63" t="s">
        <v>19</v>
      </c>
      <c r="G100" s="35">
        <v>2366</v>
      </c>
      <c r="H100" s="36">
        <v>45</v>
      </c>
      <c r="I100" s="64">
        <v>106470</v>
      </c>
      <c r="J100" s="65">
        <v>0</v>
      </c>
      <c r="K100" s="64">
        <v>106470</v>
      </c>
      <c r="L100" s="35" t="s">
        <v>18</v>
      </c>
      <c r="M100" s="35">
        <v>4.7</v>
      </c>
    </row>
    <row r="101" spans="1:13">
      <c r="A101" s="40">
        <v>99</v>
      </c>
      <c r="B101" s="60" t="s">
        <v>36</v>
      </c>
      <c r="C101" s="40">
        <v>5</v>
      </c>
      <c r="D101" s="60" t="s">
        <v>15</v>
      </c>
      <c r="E101" s="60" t="s">
        <v>16</v>
      </c>
      <c r="F101" s="60" t="s">
        <v>20</v>
      </c>
      <c r="G101" s="40">
        <v>2014</v>
      </c>
      <c r="H101" s="41">
        <v>45</v>
      </c>
      <c r="I101" s="61">
        <v>90630</v>
      </c>
      <c r="J101" s="62">
        <v>0</v>
      </c>
      <c r="K101" s="61">
        <v>90630</v>
      </c>
      <c r="L101" s="40" t="s">
        <v>18</v>
      </c>
      <c r="M101" s="40">
        <v>4.8</v>
      </c>
    </row>
    <row r="102" spans="1:13">
      <c r="A102" s="35">
        <v>100</v>
      </c>
      <c r="B102" s="63" t="s">
        <v>36</v>
      </c>
      <c r="C102" s="35">
        <v>5</v>
      </c>
      <c r="D102" s="63" t="s">
        <v>15</v>
      </c>
      <c r="E102" s="63" t="s">
        <v>16</v>
      </c>
      <c r="F102" s="63" t="s">
        <v>21</v>
      </c>
      <c r="G102" s="35">
        <v>2084</v>
      </c>
      <c r="H102" s="36">
        <v>45</v>
      </c>
      <c r="I102" s="64">
        <v>93780</v>
      </c>
      <c r="J102" s="65">
        <v>0</v>
      </c>
      <c r="K102" s="64">
        <v>93780</v>
      </c>
      <c r="L102" s="35" t="s">
        <v>18</v>
      </c>
      <c r="M102" s="35">
        <v>4.6</v>
      </c>
    </row>
    <row r="103" spans="1:13">
      <c r="A103" s="40">
        <v>101</v>
      </c>
      <c r="B103" s="60" t="s">
        <v>36</v>
      </c>
      <c r="C103" s="40">
        <v>5</v>
      </c>
      <c r="D103" s="60" t="s">
        <v>23</v>
      </c>
      <c r="E103" s="60" t="s">
        <v>24</v>
      </c>
      <c r="F103" s="60" t="s">
        <v>17</v>
      </c>
      <c r="G103" s="40">
        <v>1052</v>
      </c>
      <c r="H103" s="41">
        <v>125</v>
      </c>
      <c r="I103" s="61">
        <v>131500</v>
      </c>
      <c r="J103" s="62">
        <v>20</v>
      </c>
      <c r="K103" s="61">
        <v>105200</v>
      </c>
      <c r="L103" s="40" t="s">
        <v>22</v>
      </c>
      <c r="M103" s="40">
        <v>4.6</v>
      </c>
    </row>
    <row r="104" spans="1:13">
      <c r="A104" s="35">
        <v>102</v>
      </c>
      <c r="B104" s="63" t="s">
        <v>36</v>
      </c>
      <c r="C104" s="35">
        <v>5</v>
      </c>
      <c r="D104" s="63" t="s">
        <v>23</v>
      </c>
      <c r="E104" s="63" t="s">
        <v>24</v>
      </c>
      <c r="F104" s="63" t="s">
        <v>19</v>
      </c>
      <c r="G104" s="35">
        <v>1287</v>
      </c>
      <c r="H104" s="36">
        <v>125</v>
      </c>
      <c r="I104" s="64">
        <v>160875</v>
      </c>
      <c r="J104" s="65">
        <v>0</v>
      </c>
      <c r="K104" s="64">
        <v>160875</v>
      </c>
      <c r="L104" s="35" t="s">
        <v>18</v>
      </c>
      <c r="M104" s="35">
        <v>4.6</v>
      </c>
    </row>
    <row r="105" spans="1:13">
      <c r="A105" s="40">
        <v>103</v>
      </c>
      <c r="B105" s="60" t="s">
        <v>36</v>
      </c>
      <c r="C105" s="40">
        <v>5</v>
      </c>
      <c r="D105" s="60" t="s">
        <v>23</v>
      </c>
      <c r="E105" s="60" t="s">
        <v>24</v>
      </c>
      <c r="F105" s="60" t="s">
        <v>20</v>
      </c>
      <c r="G105" s="40">
        <v>1021</v>
      </c>
      <c r="H105" s="41">
        <v>125</v>
      </c>
      <c r="I105" s="61">
        <v>127625</v>
      </c>
      <c r="J105" s="62">
        <v>0</v>
      </c>
      <c r="K105" s="61">
        <v>127625</v>
      </c>
      <c r="L105" s="40" t="s">
        <v>18</v>
      </c>
      <c r="M105" s="40">
        <v>3.9</v>
      </c>
    </row>
    <row r="106" spans="1:13">
      <c r="A106" s="35">
        <v>104</v>
      </c>
      <c r="B106" s="63" t="s">
        <v>36</v>
      </c>
      <c r="C106" s="35">
        <v>5</v>
      </c>
      <c r="D106" s="63" t="s">
        <v>23</v>
      </c>
      <c r="E106" s="63" t="s">
        <v>24</v>
      </c>
      <c r="F106" s="63" t="s">
        <v>21</v>
      </c>
      <c r="G106" s="35">
        <v>1027</v>
      </c>
      <c r="H106" s="36">
        <v>125</v>
      </c>
      <c r="I106" s="64">
        <v>128375</v>
      </c>
      <c r="J106" s="65">
        <v>0</v>
      </c>
      <c r="K106" s="64">
        <v>128375</v>
      </c>
      <c r="L106" s="35" t="s">
        <v>18</v>
      </c>
      <c r="M106" s="35">
        <v>4.7</v>
      </c>
    </row>
    <row r="107" spans="1:13">
      <c r="A107" s="40">
        <v>105</v>
      </c>
      <c r="B107" s="60" t="s">
        <v>36</v>
      </c>
      <c r="C107" s="40">
        <v>5</v>
      </c>
      <c r="D107" s="60" t="s">
        <v>25</v>
      </c>
      <c r="E107" s="60" t="s">
        <v>26</v>
      </c>
      <c r="F107" s="60" t="s">
        <v>17</v>
      </c>
      <c r="G107" s="40">
        <v>1355</v>
      </c>
      <c r="H107" s="41">
        <v>80</v>
      </c>
      <c r="I107" s="61">
        <v>108400</v>
      </c>
      <c r="J107" s="62">
        <v>0</v>
      </c>
      <c r="K107" s="61">
        <v>108400</v>
      </c>
      <c r="L107" s="40" t="s">
        <v>18</v>
      </c>
      <c r="M107" s="40">
        <v>4.7</v>
      </c>
    </row>
    <row r="108" spans="1:13">
      <c r="A108" s="35">
        <v>106</v>
      </c>
      <c r="B108" s="63" t="s">
        <v>36</v>
      </c>
      <c r="C108" s="35">
        <v>5</v>
      </c>
      <c r="D108" s="63" t="s">
        <v>25</v>
      </c>
      <c r="E108" s="63" t="s">
        <v>26</v>
      </c>
      <c r="F108" s="63" t="s">
        <v>19</v>
      </c>
      <c r="G108" s="35">
        <v>1358</v>
      </c>
      <c r="H108" s="36">
        <v>80</v>
      </c>
      <c r="I108" s="64">
        <v>108640</v>
      </c>
      <c r="J108" s="65">
        <v>0</v>
      </c>
      <c r="K108" s="64">
        <v>108640</v>
      </c>
      <c r="L108" s="35" t="s">
        <v>18</v>
      </c>
      <c r="M108" s="35">
        <v>4.6</v>
      </c>
    </row>
    <row r="109" spans="1:13">
      <c r="A109" s="40">
        <v>107</v>
      </c>
      <c r="B109" s="60" t="s">
        <v>36</v>
      </c>
      <c r="C109" s="40">
        <v>5</v>
      </c>
      <c r="D109" s="60" t="s">
        <v>25</v>
      </c>
      <c r="E109" s="60" t="s">
        <v>26</v>
      </c>
      <c r="F109" s="60" t="s">
        <v>20</v>
      </c>
      <c r="G109" s="40">
        <v>1028</v>
      </c>
      <c r="H109" s="41">
        <v>80</v>
      </c>
      <c r="I109" s="61">
        <v>82240</v>
      </c>
      <c r="J109" s="62">
        <v>0</v>
      </c>
      <c r="K109" s="61">
        <v>82240</v>
      </c>
      <c r="L109" s="40" t="s">
        <v>18</v>
      </c>
      <c r="M109" s="40">
        <v>3.9</v>
      </c>
    </row>
    <row r="110" spans="1:13">
      <c r="A110" s="35">
        <v>108</v>
      </c>
      <c r="B110" s="63" t="s">
        <v>36</v>
      </c>
      <c r="C110" s="35">
        <v>5</v>
      </c>
      <c r="D110" s="63" t="s">
        <v>25</v>
      </c>
      <c r="E110" s="63" t="s">
        <v>26</v>
      </c>
      <c r="F110" s="63" t="s">
        <v>21</v>
      </c>
      <c r="G110" s="35">
        <v>1507</v>
      </c>
      <c r="H110" s="36">
        <v>80</v>
      </c>
      <c r="I110" s="64">
        <v>120560</v>
      </c>
      <c r="J110" s="65">
        <v>0</v>
      </c>
      <c r="K110" s="64">
        <v>120560</v>
      </c>
      <c r="L110" s="35" t="s">
        <v>18</v>
      </c>
      <c r="M110" s="35">
        <v>4.9</v>
      </c>
    </row>
    <row r="111" spans="1:13">
      <c r="A111" s="40">
        <v>109</v>
      </c>
      <c r="B111" s="60" t="s">
        <v>36</v>
      </c>
      <c r="C111" s="40">
        <v>5</v>
      </c>
      <c r="D111" s="60" t="s">
        <v>27</v>
      </c>
      <c r="E111" s="60" t="s">
        <v>28</v>
      </c>
      <c r="F111" s="60" t="s">
        <v>17</v>
      </c>
      <c r="G111" s="40">
        <v>3002</v>
      </c>
      <c r="H111" s="41">
        <v>25</v>
      </c>
      <c r="I111" s="61">
        <v>75050</v>
      </c>
      <c r="J111" s="62">
        <v>0</v>
      </c>
      <c r="K111" s="61">
        <v>75050</v>
      </c>
      <c r="L111" s="40" t="s">
        <v>18</v>
      </c>
      <c r="M111" s="40">
        <v>4.1</v>
      </c>
    </row>
    <row r="112" spans="1:13">
      <c r="A112" s="35">
        <v>110</v>
      </c>
      <c r="B112" s="63" t="s">
        <v>36</v>
      </c>
      <c r="C112" s="35">
        <v>5</v>
      </c>
      <c r="D112" s="63" t="s">
        <v>27</v>
      </c>
      <c r="E112" s="63" t="s">
        <v>28</v>
      </c>
      <c r="F112" s="63" t="s">
        <v>19</v>
      </c>
      <c r="G112" s="35">
        <v>2875</v>
      </c>
      <c r="H112" s="36">
        <v>25</v>
      </c>
      <c r="I112" s="64">
        <v>71875</v>
      </c>
      <c r="J112" s="65">
        <v>0</v>
      </c>
      <c r="K112" s="64">
        <v>71875</v>
      </c>
      <c r="L112" s="35" t="s">
        <v>18</v>
      </c>
      <c r="M112" s="35">
        <v>4.8</v>
      </c>
    </row>
    <row r="113" spans="1:13">
      <c r="A113" s="40">
        <v>111</v>
      </c>
      <c r="B113" s="60" t="s">
        <v>36</v>
      </c>
      <c r="C113" s="40">
        <v>5</v>
      </c>
      <c r="D113" s="60" t="s">
        <v>27</v>
      </c>
      <c r="E113" s="60" t="s">
        <v>28</v>
      </c>
      <c r="F113" s="60" t="s">
        <v>20</v>
      </c>
      <c r="G113" s="40">
        <v>2143</v>
      </c>
      <c r="H113" s="41">
        <v>25</v>
      </c>
      <c r="I113" s="61">
        <v>53575</v>
      </c>
      <c r="J113" s="62">
        <v>15</v>
      </c>
      <c r="K113" s="61">
        <v>45539</v>
      </c>
      <c r="L113" s="40" t="s">
        <v>22</v>
      </c>
      <c r="M113" s="40">
        <v>4.9</v>
      </c>
    </row>
    <row r="114" spans="1:13">
      <c r="A114" s="35">
        <v>112</v>
      </c>
      <c r="B114" s="63" t="s">
        <v>36</v>
      </c>
      <c r="C114" s="35">
        <v>5</v>
      </c>
      <c r="D114" s="63" t="s">
        <v>27</v>
      </c>
      <c r="E114" s="63" t="s">
        <v>28</v>
      </c>
      <c r="F114" s="63" t="s">
        <v>21</v>
      </c>
      <c r="G114" s="35">
        <v>2511</v>
      </c>
      <c r="H114" s="36">
        <v>25</v>
      </c>
      <c r="I114" s="64">
        <v>62775</v>
      </c>
      <c r="J114" s="65">
        <v>0</v>
      </c>
      <c r="K114" s="64">
        <v>62775</v>
      </c>
      <c r="L114" s="35" t="s">
        <v>18</v>
      </c>
      <c r="M114" s="35">
        <v>4.2</v>
      </c>
    </row>
    <row r="115" spans="1:13">
      <c r="A115" s="40">
        <v>113</v>
      </c>
      <c r="B115" s="60" t="s">
        <v>36</v>
      </c>
      <c r="C115" s="40">
        <v>5</v>
      </c>
      <c r="D115" s="60" t="s">
        <v>29</v>
      </c>
      <c r="E115" s="60" t="s">
        <v>30</v>
      </c>
      <c r="F115" s="60" t="s">
        <v>17</v>
      </c>
      <c r="G115" s="40">
        <v>882</v>
      </c>
      <c r="H115" s="41">
        <v>90</v>
      </c>
      <c r="I115" s="61">
        <v>79380</v>
      </c>
      <c r="J115" s="62">
        <v>0</v>
      </c>
      <c r="K115" s="61">
        <v>79380</v>
      </c>
      <c r="L115" s="40" t="s">
        <v>18</v>
      </c>
      <c r="M115" s="40">
        <v>4.4</v>
      </c>
    </row>
    <row r="116" spans="1:13">
      <c r="A116" s="35">
        <v>114</v>
      </c>
      <c r="B116" s="63" t="s">
        <v>36</v>
      </c>
      <c r="C116" s="35">
        <v>5</v>
      </c>
      <c r="D116" s="63" t="s">
        <v>29</v>
      </c>
      <c r="E116" s="63" t="s">
        <v>30</v>
      </c>
      <c r="F116" s="63" t="s">
        <v>19</v>
      </c>
      <c r="G116" s="35">
        <v>882</v>
      </c>
      <c r="H116" s="36">
        <v>90</v>
      </c>
      <c r="I116" s="64">
        <v>79380</v>
      </c>
      <c r="J116" s="65">
        <v>0</v>
      </c>
      <c r="K116" s="64">
        <v>79380</v>
      </c>
      <c r="L116" s="35" t="s">
        <v>18</v>
      </c>
      <c r="M116" s="35">
        <v>4.3</v>
      </c>
    </row>
    <row r="117" spans="1:13">
      <c r="A117" s="40">
        <v>115</v>
      </c>
      <c r="B117" s="60" t="s">
        <v>36</v>
      </c>
      <c r="C117" s="40">
        <v>5</v>
      </c>
      <c r="D117" s="60" t="s">
        <v>29</v>
      </c>
      <c r="E117" s="60" t="s">
        <v>30</v>
      </c>
      <c r="F117" s="60" t="s">
        <v>20</v>
      </c>
      <c r="G117" s="40">
        <v>776</v>
      </c>
      <c r="H117" s="41">
        <v>90</v>
      </c>
      <c r="I117" s="61">
        <v>69840</v>
      </c>
      <c r="J117" s="62">
        <v>0</v>
      </c>
      <c r="K117" s="61">
        <v>69840</v>
      </c>
      <c r="L117" s="40" t="s">
        <v>18</v>
      </c>
      <c r="M117" s="40">
        <v>3.6</v>
      </c>
    </row>
    <row r="118" spans="1:13">
      <c r="A118" s="35">
        <v>116</v>
      </c>
      <c r="B118" s="63" t="s">
        <v>36</v>
      </c>
      <c r="C118" s="35">
        <v>5</v>
      </c>
      <c r="D118" s="63" t="s">
        <v>29</v>
      </c>
      <c r="E118" s="63" t="s">
        <v>30</v>
      </c>
      <c r="F118" s="63" t="s">
        <v>21</v>
      </c>
      <c r="G118" s="35">
        <v>890</v>
      </c>
      <c r="H118" s="36">
        <v>90</v>
      </c>
      <c r="I118" s="64">
        <v>80100</v>
      </c>
      <c r="J118" s="65">
        <v>0</v>
      </c>
      <c r="K118" s="64">
        <v>80100</v>
      </c>
      <c r="L118" s="35" t="s">
        <v>18</v>
      </c>
      <c r="M118" s="35">
        <v>4.5</v>
      </c>
    </row>
    <row r="119" spans="1:13">
      <c r="A119" s="40">
        <v>117</v>
      </c>
      <c r="B119" s="60" t="s">
        <v>36</v>
      </c>
      <c r="C119" s="40">
        <v>5</v>
      </c>
      <c r="D119" s="60" t="s">
        <v>31</v>
      </c>
      <c r="E119" s="60" t="s">
        <v>32</v>
      </c>
      <c r="F119" s="60" t="s">
        <v>17</v>
      </c>
      <c r="G119" s="40">
        <v>1923</v>
      </c>
      <c r="H119" s="41">
        <v>35</v>
      </c>
      <c r="I119" s="61">
        <v>67305</v>
      </c>
      <c r="J119" s="62">
        <v>0</v>
      </c>
      <c r="K119" s="61">
        <v>67305</v>
      </c>
      <c r="L119" s="40" t="s">
        <v>18</v>
      </c>
      <c r="M119" s="40">
        <v>4.1</v>
      </c>
    </row>
    <row r="120" spans="1:13">
      <c r="A120" s="35">
        <v>118</v>
      </c>
      <c r="B120" s="63" t="s">
        <v>36</v>
      </c>
      <c r="C120" s="35">
        <v>5</v>
      </c>
      <c r="D120" s="63" t="s">
        <v>31</v>
      </c>
      <c r="E120" s="63" t="s">
        <v>32</v>
      </c>
      <c r="F120" s="63" t="s">
        <v>19</v>
      </c>
      <c r="G120" s="35">
        <v>1868</v>
      </c>
      <c r="H120" s="36">
        <v>35</v>
      </c>
      <c r="I120" s="64">
        <v>65380</v>
      </c>
      <c r="J120" s="65">
        <v>15</v>
      </c>
      <c r="K120" s="64">
        <v>55573</v>
      </c>
      <c r="L120" s="35" t="s">
        <v>22</v>
      </c>
      <c r="M120" s="35">
        <v>4.5</v>
      </c>
    </row>
    <row r="121" spans="1:13">
      <c r="A121" s="40">
        <v>119</v>
      </c>
      <c r="B121" s="60" t="s">
        <v>36</v>
      </c>
      <c r="C121" s="40">
        <v>5</v>
      </c>
      <c r="D121" s="60" t="s">
        <v>31</v>
      </c>
      <c r="E121" s="60" t="s">
        <v>32</v>
      </c>
      <c r="F121" s="60" t="s">
        <v>20</v>
      </c>
      <c r="G121" s="40">
        <v>1480</v>
      </c>
      <c r="H121" s="41">
        <v>35</v>
      </c>
      <c r="I121" s="61">
        <v>51800</v>
      </c>
      <c r="J121" s="62">
        <v>15</v>
      </c>
      <c r="K121" s="61">
        <v>44030</v>
      </c>
      <c r="L121" s="40" t="s">
        <v>22</v>
      </c>
      <c r="M121" s="40">
        <v>4.5</v>
      </c>
    </row>
    <row r="122" spans="1:13">
      <c r="A122" s="35">
        <v>120</v>
      </c>
      <c r="B122" s="63" t="s">
        <v>36</v>
      </c>
      <c r="C122" s="35">
        <v>5</v>
      </c>
      <c r="D122" s="63" t="s">
        <v>31</v>
      </c>
      <c r="E122" s="63" t="s">
        <v>32</v>
      </c>
      <c r="F122" s="63" t="s">
        <v>21</v>
      </c>
      <c r="G122" s="35">
        <v>1847</v>
      </c>
      <c r="H122" s="36">
        <v>35</v>
      </c>
      <c r="I122" s="64">
        <v>64645</v>
      </c>
      <c r="J122" s="65">
        <v>0</v>
      </c>
      <c r="K122" s="64">
        <v>64645</v>
      </c>
      <c r="L122" s="35" t="s">
        <v>18</v>
      </c>
      <c r="M122" s="35">
        <v>4.3</v>
      </c>
    </row>
    <row r="123" spans="1:13">
      <c r="A123" s="40">
        <v>121</v>
      </c>
      <c r="B123" s="60" t="s">
        <v>37</v>
      </c>
      <c r="C123" s="40">
        <v>6</v>
      </c>
      <c r="D123" s="60" t="s">
        <v>15</v>
      </c>
      <c r="E123" s="60" t="s">
        <v>16</v>
      </c>
      <c r="F123" s="60" t="s">
        <v>17</v>
      </c>
      <c r="G123" s="40">
        <v>2786</v>
      </c>
      <c r="H123" s="41">
        <v>45</v>
      </c>
      <c r="I123" s="61">
        <v>125370</v>
      </c>
      <c r="J123" s="62">
        <v>20</v>
      </c>
      <c r="K123" s="61">
        <v>100296</v>
      </c>
      <c r="L123" s="40" t="s">
        <v>22</v>
      </c>
      <c r="M123" s="40">
        <v>4.8</v>
      </c>
    </row>
    <row r="124" spans="1:13">
      <c r="A124" s="35">
        <v>122</v>
      </c>
      <c r="B124" s="63" t="s">
        <v>37</v>
      </c>
      <c r="C124" s="35">
        <v>6</v>
      </c>
      <c r="D124" s="63" t="s">
        <v>15</v>
      </c>
      <c r="E124" s="63" t="s">
        <v>16</v>
      </c>
      <c r="F124" s="63" t="s">
        <v>19</v>
      </c>
      <c r="G124" s="35">
        <v>2499</v>
      </c>
      <c r="H124" s="36">
        <v>45</v>
      </c>
      <c r="I124" s="64">
        <v>112455</v>
      </c>
      <c r="J124" s="65">
        <v>0</v>
      </c>
      <c r="K124" s="64">
        <v>112455</v>
      </c>
      <c r="L124" s="35" t="s">
        <v>18</v>
      </c>
      <c r="M124" s="35">
        <v>4.3</v>
      </c>
    </row>
    <row r="125" spans="1:13">
      <c r="A125" s="40">
        <v>123</v>
      </c>
      <c r="B125" s="60" t="s">
        <v>37</v>
      </c>
      <c r="C125" s="40">
        <v>6</v>
      </c>
      <c r="D125" s="60" t="s">
        <v>15</v>
      </c>
      <c r="E125" s="60" t="s">
        <v>16</v>
      </c>
      <c r="F125" s="60" t="s">
        <v>20</v>
      </c>
      <c r="G125" s="40">
        <v>1989</v>
      </c>
      <c r="H125" s="41">
        <v>45</v>
      </c>
      <c r="I125" s="61">
        <v>89505</v>
      </c>
      <c r="J125" s="62">
        <v>15</v>
      </c>
      <c r="K125" s="61">
        <v>76079</v>
      </c>
      <c r="L125" s="40" t="s">
        <v>22</v>
      </c>
      <c r="M125" s="40">
        <v>4.6</v>
      </c>
    </row>
    <row r="126" spans="1:13">
      <c r="A126" s="35">
        <v>124</v>
      </c>
      <c r="B126" s="63" t="s">
        <v>37</v>
      </c>
      <c r="C126" s="35">
        <v>6</v>
      </c>
      <c r="D126" s="63" t="s">
        <v>15</v>
      </c>
      <c r="E126" s="63" t="s">
        <v>16</v>
      </c>
      <c r="F126" s="63" t="s">
        <v>21</v>
      </c>
      <c r="G126" s="35">
        <v>2442</v>
      </c>
      <c r="H126" s="36">
        <v>45</v>
      </c>
      <c r="I126" s="64">
        <v>109890</v>
      </c>
      <c r="J126" s="65">
        <v>0</v>
      </c>
      <c r="K126" s="64">
        <v>109890</v>
      </c>
      <c r="L126" s="35" t="s">
        <v>18</v>
      </c>
      <c r="M126" s="35">
        <v>4.2</v>
      </c>
    </row>
    <row r="127" spans="1:13">
      <c r="A127" s="40">
        <v>125</v>
      </c>
      <c r="B127" s="60" t="s">
        <v>37</v>
      </c>
      <c r="C127" s="40">
        <v>6</v>
      </c>
      <c r="D127" s="60" t="s">
        <v>23</v>
      </c>
      <c r="E127" s="60" t="s">
        <v>24</v>
      </c>
      <c r="F127" s="60" t="s">
        <v>17</v>
      </c>
      <c r="G127" s="40">
        <v>1340</v>
      </c>
      <c r="H127" s="41">
        <v>125</v>
      </c>
      <c r="I127" s="61">
        <v>167500</v>
      </c>
      <c r="J127" s="62">
        <v>0</v>
      </c>
      <c r="K127" s="61">
        <v>167500</v>
      </c>
      <c r="L127" s="40" t="s">
        <v>18</v>
      </c>
      <c r="M127" s="40">
        <v>4.6</v>
      </c>
    </row>
    <row r="128" spans="1:13">
      <c r="A128" s="35">
        <v>126</v>
      </c>
      <c r="B128" s="63" t="s">
        <v>37</v>
      </c>
      <c r="C128" s="35">
        <v>6</v>
      </c>
      <c r="D128" s="63" t="s">
        <v>23</v>
      </c>
      <c r="E128" s="63" t="s">
        <v>24</v>
      </c>
      <c r="F128" s="63" t="s">
        <v>19</v>
      </c>
      <c r="G128" s="35">
        <v>1386</v>
      </c>
      <c r="H128" s="36">
        <v>125</v>
      </c>
      <c r="I128" s="64">
        <v>173250</v>
      </c>
      <c r="J128" s="65">
        <v>0</v>
      </c>
      <c r="K128" s="64">
        <v>173250</v>
      </c>
      <c r="L128" s="35" t="s">
        <v>18</v>
      </c>
      <c r="M128" s="35">
        <v>4.5</v>
      </c>
    </row>
    <row r="129" spans="1:13">
      <c r="A129" s="40">
        <v>127</v>
      </c>
      <c r="B129" s="60" t="s">
        <v>37</v>
      </c>
      <c r="C129" s="40">
        <v>6</v>
      </c>
      <c r="D129" s="60" t="s">
        <v>23</v>
      </c>
      <c r="E129" s="60" t="s">
        <v>24</v>
      </c>
      <c r="F129" s="60" t="s">
        <v>20</v>
      </c>
      <c r="G129" s="40">
        <v>1111</v>
      </c>
      <c r="H129" s="41">
        <v>125</v>
      </c>
      <c r="I129" s="61">
        <v>138875</v>
      </c>
      <c r="J129" s="62">
        <v>0</v>
      </c>
      <c r="K129" s="61">
        <v>138875</v>
      </c>
      <c r="L129" s="40" t="s">
        <v>18</v>
      </c>
      <c r="M129" s="40">
        <v>4.4</v>
      </c>
    </row>
    <row r="130" spans="1:13">
      <c r="A130" s="35">
        <v>128</v>
      </c>
      <c r="B130" s="63" t="s">
        <v>37</v>
      </c>
      <c r="C130" s="35">
        <v>6</v>
      </c>
      <c r="D130" s="63" t="s">
        <v>23</v>
      </c>
      <c r="E130" s="63" t="s">
        <v>24</v>
      </c>
      <c r="F130" s="63" t="s">
        <v>21</v>
      </c>
      <c r="G130" s="35">
        <v>1328</v>
      </c>
      <c r="H130" s="36">
        <v>125</v>
      </c>
      <c r="I130" s="64">
        <v>166000</v>
      </c>
      <c r="J130" s="65">
        <v>10</v>
      </c>
      <c r="K130" s="64">
        <v>149400</v>
      </c>
      <c r="L130" s="35" t="s">
        <v>22</v>
      </c>
      <c r="M130" s="35">
        <v>3.9</v>
      </c>
    </row>
    <row r="131" spans="1:13">
      <c r="A131" s="40">
        <v>129</v>
      </c>
      <c r="B131" s="60" t="s">
        <v>37</v>
      </c>
      <c r="C131" s="40">
        <v>6</v>
      </c>
      <c r="D131" s="60" t="s">
        <v>25</v>
      </c>
      <c r="E131" s="60" t="s">
        <v>26</v>
      </c>
      <c r="F131" s="60" t="s">
        <v>17</v>
      </c>
      <c r="G131" s="40">
        <v>1455</v>
      </c>
      <c r="H131" s="41">
        <v>80</v>
      </c>
      <c r="I131" s="61">
        <v>116400</v>
      </c>
      <c r="J131" s="62">
        <v>5</v>
      </c>
      <c r="K131" s="61">
        <v>110580</v>
      </c>
      <c r="L131" s="40" t="s">
        <v>22</v>
      </c>
      <c r="M131" s="40">
        <v>4.9</v>
      </c>
    </row>
    <row r="132" spans="1:13">
      <c r="A132" s="35">
        <v>130</v>
      </c>
      <c r="B132" s="63" t="s">
        <v>37</v>
      </c>
      <c r="C132" s="35">
        <v>6</v>
      </c>
      <c r="D132" s="63" t="s">
        <v>25</v>
      </c>
      <c r="E132" s="63" t="s">
        <v>26</v>
      </c>
      <c r="F132" s="63" t="s">
        <v>19</v>
      </c>
      <c r="G132" s="35">
        <v>1707</v>
      </c>
      <c r="H132" s="36">
        <v>80</v>
      </c>
      <c r="I132" s="64">
        <v>136560</v>
      </c>
      <c r="J132" s="65">
        <v>0</v>
      </c>
      <c r="K132" s="64">
        <v>136560</v>
      </c>
      <c r="L132" s="35" t="s">
        <v>18</v>
      </c>
      <c r="M132" s="35">
        <v>4.2</v>
      </c>
    </row>
    <row r="133" spans="1:13">
      <c r="A133" s="40">
        <v>131</v>
      </c>
      <c r="B133" s="60" t="s">
        <v>37</v>
      </c>
      <c r="C133" s="40">
        <v>6</v>
      </c>
      <c r="D133" s="60" t="s">
        <v>25</v>
      </c>
      <c r="E133" s="60" t="s">
        <v>26</v>
      </c>
      <c r="F133" s="60" t="s">
        <v>20</v>
      </c>
      <c r="G133" s="40">
        <v>1330</v>
      </c>
      <c r="H133" s="41">
        <v>80</v>
      </c>
      <c r="I133" s="61">
        <v>106400</v>
      </c>
      <c r="J133" s="62">
        <v>0</v>
      </c>
      <c r="K133" s="61">
        <v>106400</v>
      </c>
      <c r="L133" s="40" t="s">
        <v>18</v>
      </c>
      <c r="M133" s="40">
        <v>4.5</v>
      </c>
    </row>
    <row r="134" spans="1:13">
      <c r="A134" s="35">
        <v>132</v>
      </c>
      <c r="B134" s="63" t="s">
        <v>37</v>
      </c>
      <c r="C134" s="35">
        <v>6</v>
      </c>
      <c r="D134" s="63" t="s">
        <v>25</v>
      </c>
      <c r="E134" s="63" t="s">
        <v>26</v>
      </c>
      <c r="F134" s="63" t="s">
        <v>21</v>
      </c>
      <c r="G134" s="35">
        <v>1521</v>
      </c>
      <c r="H134" s="36">
        <v>80</v>
      </c>
      <c r="I134" s="64">
        <v>121680</v>
      </c>
      <c r="J134" s="65">
        <v>0</v>
      </c>
      <c r="K134" s="64">
        <v>121680</v>
      </c>
      <c r="L134" s="35" t="s">
        <v>18</v>
      </c>
      <c r="M134" s="35">
        <v>3.8</v>
      </c>
    </row>
    <row r="135" spans="1:13">
      <c r="A135" s="40">
        <v>133</v>
      </c>
      <c r="B135" s="60" t="s">
        <v>37</v>
      </c>
      <c r="C135" s="40">
        <v>6</v>
      </c>
      <c r="D135" s="60" t="s">
        <v>27</v>
      </c>
      <c r="E135" s="60" t="s">
        <v>28</v>
      </c>
      <c r="F135" s="60" t="s">
        <v>17</v>
      </c>
      <c r="G135" s="40">
        <v>3574</v>
      </c>
      <c r="H135" s="41">
        <v>25</v>
      </c>
      <c r="I135" s="61">
        <v>89350</v>
      </c>
      <c r="J135" s="62">
        <v>0</v>
      </c>
      <c r="K135" s="61">
        <v>89350</v>
      </c>
      <c r="L135" s="40" t="s">
        <v>18</v>
      </c>
      <c r="M135" s="40">
        <v>4.7</v>
      </c>
    </row>
    <row r="136" spans="1:13">
      <c r="A136" s="35">
        <v>134</v>
      </c>
      <c r="B136" s="63" t="s">
        <v>37</v>
      </c>
      <c r="C136" s="35">
        <v>6</v>
      </c>
      <c r="D136" s="63" t="s">
        <v>27</v>
      </c>
      <c r="E136" s="63" t="s">
        <v>28</v>
      </c>
      <c r="F136" s="63" t="s">
        <v>19</v>
      </c>
      <c r="G136" s="35">
        <v>3421</v>
      </c>
      <c r="H136" s="36">
        <v>25</v>
      </c>
      <c r="I136" s="64">
        <v>85525</v>
      </c>
      <c r="J136" s="65">
        <v>0</v>
      </c>
      <c r="K136" s="64">
        <v>85525</v>
      </c>
      <c r="L136" s="35" t="s">
        <v>18</v>
      </c>
      <c r="M136" s="35">
        <v>3.9</v>
      </c>
    </row>
    <row r="137" spans="1:13">
      <c r="A137" s="40">
        <v>135</v>
      </c>
      <c r="B137" s="60" t="s">
        <v>37</v>
      </c>
      <c r="C137" s="40">
        <v>6</v>
      </c>
      <c r="D137" s="60" t="s">
        <v>27</v>
      </c>
      <c r="E137" s="60" t="s">
        <v>28</v>
      </c>
      <c r="F137" s="60" t="s">
        <v>20</v>
      </c>
      <c r="G137" s="40">
        <v>2736</v>
      </c>
      <c r="H137" s="41">
        <v>25</v>
      </c>
      <c r="I137" s="61">
        <v>68400</v>
      </c>
      <c r="J137" s="62">
        <v>0</v>
      </c>
      <c r="K137" s="61">
        <v>68400</v>
      </c>
      <c r="L137" s="40" t="s">
        <v>18</v>
      </c>
      <c r="M137" s="40">
        <v>4.2</v>
      </c>
    </row>
    <row r="138" spans="1:13">
      <c r="A138" s="35">
        <v>136</v>
      </c>
      <c r="B138" s="63" t="s">
        <v>37</v>
      </c>
      <c r="C138" s="35">
        <v>6</v>
      </c>
      <c r="D138" s="63" t="s">
        <v>27</v>
      </c>
      <c r="E138" s="63" t="s">
        <v>28</v>
      </c>
      <c r="F138" s="63" t="s">
        <v>21</v>
      </c>
      <c r="G138" s="35">
        <v>3430</v>
      </c>
      <c r="H138" s="36">
        <v>25</v>
      </c>
      <c r="I138" s="64">
        <v>85750</v>
      </c>
      <c r="J138" s="65">
        <v>0</v>
      </c>
      <c r="K138" s="64">
        <v>85750</v>
      </c>
      <c r="L138" s="35" t="s">
        <v>18</v>
      </c>
      <c r="M138" s="35">
        <v>3.8</v>
      </c>
    </row>
    <row r="139" spans="1:13">
      <c r="A139" s="40">
        <v>137</v>
      </c>
      <c r="B139" s="60" t="s">
        <v>37</v>
      </c>
      <c r="C139" s="40">
        <v>6</v>
      </c>
      <c r="D139" s="60" t="s">
        <v>29</v>
      </c>
      <c r="E139" s="60" t="s">
        <v>30</v>
      </c>
      <c r="F139" s="60" t="s">
        <v>17</v>
      </c>
      <c r="G139" s="40">
        <v>1081</v>
      </c>
      <c r="H139" s="41">
        <v>90</v>
      </c>
      <c r="I139" s="61">
        <v>97290</v>
      </c>
      <c r="J139" s="62">
        <v>20</v>
      </c>
      <c r="K139" s="61">
        <v>77832</v>
      </c>
      <c r="L139" s="40" t="s">
        <v>22</v>
      </c>
      <c r="M139" s="40">
        <v>4.9</v>
      </c>
    </row>
    <row r="140" spans="1:13">
      <c r="A140" s="35">
        <v>138</v>
      </c>
      <c r="B140" s="63" t="s">
        <v>37</v>
      </c>
      <c r="C140" s="35">
        <v>6</v>
      </c>
      <c r="D140" s="63" t="s">
        <v>29</v>
      </c>
      <c r="E140" s="63" t="s">
        <v>30</v>
      </c>
      <c r="F140" s="63" t="s">
        <v>19</v>
      </c>
      <c r="G140" s="35">
        <v>1130</v>
      </c>
      <c r="H140" s="36">
        <v>90</v>
      </c>
      <c r="I140" s="64">
        <v>101700</v>
      </c>
      <c r="J140" s="65">
        <v>0</v>
      </c>
      <c r="K140" s="64">
        <v>101700</v>
      </c>
      <c r="L140" s="35" t="s">
        <v>18</v>
      </c>
      <c r="M140" s="35">
        <v>4.8</v>
      </c>
    </row>
    <row r="141" spans="1:13">
      <c r="A141" s="40">
        <v>139</v>
      </c>
      <c r="B141" s="60" t="s">
        <v>37</v>
      </c>
      <c r="C141" s="40">
        <v>6</v>
      </c>
      <c r="D141" s="60" t="s">
        <v>29</v>
      </c>
      <c r="E141" s="60" t="s">
        <v>30</v>
      </c>
      <c r="F141" s="60" t="s">
        <v>20</v>
      </c>
      <c r="G141" s="40">
        <v>875</v>
      </c>
      <c r="H141" s="41">
        <v>90</v>
      </c>
      <c r="I141" s="61">
        <v>78750</v>
      </c>
      <c r="J141" s="62">
        <v>0</v>
      </c>
      <c r="K141" s="61">
        <v>78750</v>
      </c>
      <c r="L141" s="40" t="s">
        <v>18</v>
      </c>
      <c r="M141" s="40">
        <v>4.3</v>
      </c>
    </row>
    <row r="142" spans="1:13">
      <c r="A142" s="35">
        <v>140</v>
      </c>
      <c r="B142" s="63" t="s">
        <v>37</v>
      </c>
      <c r="C142" s="35">
        <v>6</v>
      </c>
      <c r="D142" s="63" t="s">
        <v>29</v>
      </c>
      <c r="E142" s="63" t="s">
        <v>30</v>
      </c>
      <c r="F142" s="63" t="s">
        <v>21</v>
      </c>
      <c r="G142" s="35">
        <v>1003</v>
      </c>
      <c r="H142" s="36">
        <v>90</v>
      </c>
      <c r="I142" s="64">
        <v>90270</v>
      </c>
      <c r="J142" s="65">
        <v>0</v>
      </c>
      <c r="K142" s="64">
        <v>90270</v>
      </c>
      <c r="L142" s="35" t="s">
        <v>18</v>
      </c>
      <c r="M142" s="35">
        <v>4.8</v>
      </c>
    </row>
    <row r="143" spans="1:13">
      <c r="A143" s="40">
        <v>141</v>
      </c>
      <c r="B143" s="60" t="s">
        <v>37</v>
      </c>
      <c r="C143" s="40">
        <v>6</v>
      </c>
      <c r="D143" s="60" t="s">
        <v>31</v>
      </c>
      <c r="E143" s="60" t="s">
        <v>32</v>
      </c>
      <c r="F143" s="60" t="s">
        <v>17</v>
      </c>
      <c r="G143" s="40">
        <v>2066</v>
      </c>
      <c r="H143" s="41">
        <v>35</v>
      </c>
      <c r="I143" s="61">
        <v>72310</v>
      </c>
      <c r="J143" s="62">
        <v>0</v>
      </c>
      <c r="K143" s="61">
        <v>72310</v>
      </c>
      <c r="L143" s="40" t="s">
        <v>18</v>
      </c>
      <c r="M143" s="40">
        <v>3.9</v>
      </c>
    </row>
    <row r="144" spans="1:13">
      <c r="A144" s="35">
        <v>142</v>
      </c>
      <c r="B144" s="63" t="s">
        <v>37</v>
      </c>
      <c r="C144" s="35">
        <v>6</v>
      </c>
      <c r="D144" s="63" t="s">
        <v>31</v>
      </c>
      <c r="E144" s="63" t="s">
        <v>32</v>
      </c>
      <c r="F144" s="63" t="s">
        <v>19</v>
      </c>
      <c r="G144" s="35">
        <v>2108</v>
      </c>
      <c r="H144" s="36">
        <v>35</v>
      </c>
      <c r="I144" s="64">
        <v>73780</v>
      </c>
      <c r="J144" s="65">
        <v>0</v>
      </c>
      <c r="K144" s="64">
        <v>73780</v>
      </c>
      <c r="L144" s="35" t="s">
        <v>18</v>
      </c>
      <c r="M144" s="35">
        <v>4.6</v>
      </c>
    </row>
    <row r="145" spans="1:13">
      <c r="A145" s="40">
        <v>143</v>
      </c>
      <c r="B145" s="60" t="s">
        <v>37</v>
      </c>
      <c r="C145" s="40">
        <v>6</v>
      </c>
      <c r="D145" s="60" t="s">
        <v>31</v>
      </c>
      <c r="E145" s="60" t="s">
        <v>32</v>
      </c>
      <c r="F145" s="60" t="s">
        <v>20</v>
      </c>
      <c r="G145" s="40">
        <v>1713</v>
      </c>
      <c r="H145" s="41">
        <v>35</v>
      </c>
      <c r="I145" s="61">
        <v>59955</v>
      </c>
      <c r="J145" s="62">
        <v>0</v>
      </c>
      <c r="K145" s="61">
        <v>59955</v>
      </c>
      <c r="L145" s="40" t="s">
        <v>18</v>
      </c>
      <c r="M145" s="40">
        <v>4</v>
      </c>
    </row>
    <row r="146" spans="1:13">
      <c r="A146" s="35">
        <v>144</v>
      </c>
      <c r="B146" s="63" t="s">
        <v>37</v>
      </c>
      <c r="C146" s="35">
        <v>6</v>
      </c>
      <c r="D146" s="63" t="s">
        <v>31</v>
      </c>
      <c r="E146" s="63" t="s">
        <v>32</v>
      </c>
      <c r="F146" s="63" t="s">
        <v>21</v>
      </c>
      <c r="G146" s="35">
        <v>1858</v>
      </c>
      <c r="H146" s="36">
        <v>35</v>
      </c>
      <c r="I146" s="64">
        <v>65030</v>
      </c>
      <c r="J146" s="65">
        <v>15</v>
      </c>
      <c r="K146" s="64">
        <v>55276</v>
      </c>
      <c r="L146" s="35" t="s">
        <v>22</v>
      </c>
      <c r="M146" s="35">
        <v>4</v>
      </c>
    </row>
    <row r="147" spans="1:13">
      <c r="A147" s="40">
        <v>145</v>
      </c>
      <c r="B147" s="60" t="s">
        <v>38</v>
      </c>
      <c r="C147" s="40">
        <v>7</v>
      </c>
      <c r="D147" s="60" t="s">
        <v>15</v>
      </c>
      <c r="E147" s="60" t="s">
        <v>16</v>
      </c>
      <c r="F147" s="60" t="s">
        <v>17</v>
      </c>
      <c r="G147" s="40">
        <v>2314</v>
      </c>
      <c r="H147" s="41">
        <v>45</v>
      </c>
      <c r="I147" s="61">
        <v>104130</v>
      </c>
      <c r="J147" s="62">
        <v>0</v>
      </c>
      <c r="K147" s="61">
        <v>104130</v>
      </c>
      <c r="L147" s="40" t="s">
        <v>18</v>
      </c>
      <c r="M147" s="40">
        <v>3.8</v>
      </c>
    </row>
    <row r="148" spans="1:13">
      <c r="A148" s="35">
        <v>146</v>
      </c>
      <c r="B148" s="63" t="s">
        <v>38</v>
      </c>
      <c r="C148" s="35">
        <v>7</v>
      </c>
      <c r="D148" s="63" t="s">
        <v>15</v>
      </c>
      <c r="E148" s="63" t="s">
        <v>16</v>
      </c>
      <c r="F148" s="63" t="s">
        <v>19</v>
      </c>
      <c r="G148" s="35">
        <v>2316</v>
      </c>
      <c r="H148" s="36">
        <v>45</v>
      </c>
      <c r="I148" s="64">
        <v>104220</v>
      </c>
      <c r="J148" s="65">
        <v>0</v>
      </c>
      <c r="K148" s="64">
        <v>104220</v>
      </c>
      <c r="L148" s="35" t="s">
        <v>18</v>
      </c>
      <c r="M148" s="35">
        <v>3.9</v>
      </c>
    </row>
    <row r="149" spans="1:13">
      <c r="A149" s="40">
        <v>147</v>
      </c>
      <c r="B149" s="60" t="s">
        <v>38</v>
      </c>
      <c r="C149" s="40">
        <v>7</v>
      </c>
      <c r="D149" s="60" t="s">
        <v>15</v>
      </c>
      <c r="E149" s="60" t="s">
        <v>16</v>
      </c>
      <c r="F149" s="60" t="s">
        <v>20</v>
      </c>
      <c r="G149" s="40">
        <v>1975</v>
      </c>
      <c r="H149" s="41">
        <v>45</v>
      </c>
      <c r="I149" s="61">
        <v>88875</v>
      </c>
      <c r="J149" s="62">
        <v>0</v>
      </c>
      <c r="K149" s="61">
        <v>88875</v>
      </c>
      <c r="L149" s="40" t="s">
        <v>18</v>
      </c>
      <c r="M149" s="40">
        <v>4.2</v>
      </c>
    </row>
    <row r="150" spans="1:13">
      <c r="A150" s="35">
        <v>148</v>
      </c>
      <c r="B150" s="63" t="s">
        <v>38</v>
      </c>
      <c r="C150" s="35">
        <v>7</v>
      </c>
      <c r="D150" s="63" t="s">
        <v>15</v>
      </c>
      <c r="E150" s="63" t="s">
        <v>16</v>
      </c>
      <c r="F150" s="63" t="s">
        <v>21</v>
      </c>
      <c r="G150" s="35">
        <v>2391</v>
      </c>
      <c r="H150" s="36">
        <v>45</v>
      </c>
      <c r="I150" s="64">
        <v>107595</v>
      </c>
      <c r="J150" s="65">
        <v>20</v>
      </c>
      <c r="K150" s="64">
        <v>86076</v>
      </c>
      <c r="L150" s="35" t="s">
        <v>22</v>
      </c>
      <c r="M150" s="35">
        <v>4.6</v>
      </c>
    </row>
    <row r="151" spans="1:13">
      <c r="A151" s="40">
        <v>149</v>
      </c>
      <c r="B151" s="60" t="s">
        <v>38</v>
      </c>
      <c r="C151" s="40">
        <v>7</v>
      </c>
      <c r="D151" s="60" t="s">
        <v>23</v>
      </c>
      <c r="E151" s="60" t="s">
        <v>24</v>
      </c>
      <c r="F151" s="60" t="s">
        <v>17</v>
      </c>
      <c r="G151" s="40">
        <v>1138</v>
      </c>
      <c r="H151" s="41">
        <v>125</v>
      </c>
      <c r="I151" s="61">
        <v>142250</v>
      </c>
      <c r="J151" s="62">
        <v>0</v>
      </c>
      <c r="K151" s="61">
        <v>142250</v>
      </c>
      <c r="L151" s="40" t="s">
        <v>18</v>
      </c>
      <c r="M151" s="40">
        <v>4.7</v>
      </c>
    </row>
    <row r="152" spans="1:13">
      <c r="A152" s="35">
        <v>150</v>
      </c>
      <c r="B152" s="63" t="s">
        <v>38</v>
      </c>
      <c r="C152" s="35">
        <v>7</v>
      </c>
      <c r="D152" s="63" t="s">
        <v>23</v>
      </c>
      <c r="E152" s="63" t="s">
        <v>24</v>
      </c>
      <c r="F152" s="63" t="s">
        <v>19</v>
      </c>
      <c r="G152" s="35">
        <v>1256</v>
      </c>
      <c r="H152" s="36">
        <v>125</v>
      </c>
      <c r="I152" s="64">
        <v>157000</v>
      </c>
      <c r="J152" s="65">
        <v>0</v>
      </c>
      <c r="K152" s="64">
        <v>157000</v>
      </c>
      <c r="L152" s="35" t="s">
        <v>18</v>
      </c>
      <c r="M152" s="35">
        <v>4.8</v>
      </c>
    </row>
    <row r="153" spans="1:13">
      <c r="A153" s="40">
        <v>151</v>
      </c>
      <c r="B153" s="60" t="s">
        <v>38</v>
      </c>
      <c r="C153" s="40">
        <v>7</v>
      </c>
      <c r="D153" s="60" t="s">
        <v>23</v>
      </c>
      <c r="E153" s="60" t="s">
        <v>24</v>
      </c>
      <c r="F153" s="60" t="s">
        <v>20</v>
      </c>
      <c r="G153" s="40">
        <v>1002</v>
      </c>
      <c r="H153" s="41">
        <v>125</v>
      </c>
      <c r="I153" s="61">
        <v>125250</v>
      </c>
      <c r="J153" s="62">
        <v>0</v>
      </c>
      <c r="K153" s="61">
        <v>125250</v>
      </c>
      <c r="L153" s="40" t="s">
        <v>18</v>
      </c>
      <c r="M153" s="40">
        <v>4.8</v>
      </c>
    </row>
    <row r="154" spans="1:13">
      <c r="A154" s="35">
        <v>152</v>
      </c>
      <c r="B154" s="63" t="s">
        <v>38</v>
      </c>
      <c r="C154" s="35">
        <v>7</v>
      </c>
      <c r="D154" s="63" t="s">
        <v>23</v>
      </c>
      <c r="E154" s="63" t="s">
        <v>24</v>
      </c>
      <c r="F154" s="63" t="s">
        <v>21</v>
      </c>
      <c r="G154" s="35">
        <v>1239</v>
      </c>
      <c r="H154" s="36">
        <v>125</v>
      </c>
      <c r="I154" s="64">
        <v>154875</v>
      </c>
      <c r="J154" s="65">
        <v>0</v>
      </c>
      <c r="K154" s="64">
        <v>154875</v>
      </c>
      <c r="L154" s="35" t="s">
        <v>18</v>
      </c>
      <c r="M154" s="35">
        <v>4.6</v>
      </c>
    </row>
    <row r="155" spans="1:13">
      <c r="A155" s="40">
        <v>153</v>
      </c>
      <c r="B155" s="60" t="s">
        <v>38</v>
      </c>
      <c r="C155" s="40">
        <v>7</v>
      </c>
      <c r="D155" s="60" t="s">
        <v>25</v>
      </c>
      <c r="E155" s="60" t="s">
        <v>26</v>
      </c>
      <c r="F155" s="60" t="s">
        <v>17</v>
      </c>
      <c r="G155" s="40">
        <v>1723</v>
      </c>
      <c r="H155" s="41">
        <v>80</v>
      </c>
      <c r="I155" s="61">
        <v>137840</v>
      </c>
      <c r="J155" s="62">
        <v>0</v>
      </c>
      <c r="K155" s="61">
        <v>137840</v>
      </c>
      <c r="L155" s="40" t="s">
        <v>18</v>
      </c>
      <c r="M155" s="40">
        <v>4.2</v>
      </c>
    </row>
    <row r="156" spans="1:13">
      <c r="A156" s="35">
        <v>154</v>
      </c>
      <c r="B156" s="63" t="s">
        <v>38</v>
      </c>
      <c r="C156" s="35">
        <v>7</v>
      </c>
      <c r="D156" s="63" t="s">
        <v>25</v>
      </c>
      <c r="E156" s="63" t="s">
        <v>26</v>
      </c>
      <c r="F156" s="63" t="s">
        <v>19</v>
      </c>
      <c r="G156" s="35">
        <v>1539</v>
      </c>
      <c r="H156" s="36">
        <v>80</v>
      </c>
      <c r="I156" s="64">
        <v>123120</v>
      </c>
      <c r="J156" s="65">
        <v>0</v>
      </c>
      <c r="K156" s="64">
        <v>123120</v>
      </c>
      <c r="L156" s="35" t="s">
        <v>18</v>
      </c>
      <c r="M156" s="35">
        <v>4.1</v>
      </c>
    </row>
    <row r="157" spans="1:13">
      <c r="A157" s="40">
        <v>155</v>
      </c>
      <c r="B157" s="60" t="s">
        <v>38</v>
      </c>
      <c r="C157" s="40">
        <v>7</v>
      </c>
      <c r="D157" s="60" t="s">
        <v>25</v>
      </c>
      <c r="E157" s="60" t="s">
        <v>26</v>
      </c>
      <c r="F157" s="60" t="s">
        <v>20</v>
      </c>
      <c r="G157" s="40">
        <v>1348</v>
      </c>
      <c r="H157" s="41">
        <v>80</v>
      </c>
      <c r="I157" s="61">
        <v>107840</v>
      </c>
      <c r="J157" s="62">
        <v>0</v>
      </c>
      <c r="K157" s="61">
        <v>107840</v>
      </c>
      <c r="L157" s="40" t="s">
        <v>18</v>
      </c>
      <c r="M157" s="40">
        <v>4.5</v>
      </c>
    </row>
    <row r="158" spans="1:13">
      <c r="A158" s="35">
        <v>156</v>
      </c>
      <c r="B158" s="63" t="s">
        <v>38</v>
      </c>
      <c r="C158" s="35">
        <v>7</v>
      </c>
      <c r="D158" s="63" t="s">
        <v>25</v>
      </c>
      <c r="E158" s="63" t="s">
        <v>26</v>
      </c>
      <c r="F158" s="63" t="s">
        <v>21</v>
      </c>
      <c r="G158" s="35">
        <v>1652</v>
      </c>
      <c r="H158" s="36">
        <v>80</v>
      </c>
      <c r="I158" s="64">
        <v>132160</v>
      </c>
      <c r="J158" s="65">
        <v>0</v>
      </c>
      <c r="K158" s="64">
        <v>132160</v>
      </c>
      <c r="L158" s="35" t="s">
        <v>18</v>
      </c>
      <c r="M158" s="35">
        <v>4.9</v>
      </c>
    </row>
    <row r="159" spans="1:13">
      <c r="A159" s="40">
        <v>157</v>
      </c>
      <c r="B159" s="60" t="s">
        <v>38</v>
      </c>
      <c r="C159" s="40">
        <v>7</v>
      </c>
      <c r="D159" s="60" t="s">
        <v>27</v>
      </c>
      <c r="E159" s="60" t="s">
        <v>28</v>
      </c>
      <c r="F159" s="60" t="s">
        <v>17</v>
      </c>
      <c r="G159" s="40">
        <v>3453</v>
      </c>
      <c r="H159" s="41">
        <v>25</v>
      </c>
      <c r="I159" s="61">
        <v>86325</v>
      </c>
      <c r="J159" s="62">
        <v>0</v>
      </c>
      <c r="K159" s="61">
        <v>86325</v>
      </c>
      <c r="L159" s="40" t="s">
        <v>18</v>
      </c>
      <c r="M159" s="40">
        <v>4.4</v>
      </c>
    </row>
    <row r="160" spans="1:13">
      <c r="A160" s="35">
        <v>158</v>
      </c>
      <c r="B160" s="63" t="s">
        <v>38</v>
      </c>
      <c r="C160" s="35">
        <v>7</v>
      </c>
      <c r="D160" s="63" t="s">
        <v>27</v>
      </c>
      <c r="E160" s="63" t="s">
        <v>28</v>
      </c>
      <c r="F160" s="63" t="s">
        <v>19</v>
      </c>
      <c r="G160" s="35">
        <v>2780</v>
      </c>
      <c r="H160" s="36">
        <v>25</v>
      </c>
      <c r="I160" s="64">
        <v>69500</v>
      </c>
      <c r="J160" s="65">
        <v>0</v>
      </c>
      <c r="K160" s="64">
        <v>69500</v>
      </c>
      <c r="L160" s="35" t="s">
        <v>18</v>
      </c>
      <c r="M160" s="35">
        <v>4.2</v>
      </c>
    </row>
    <row r="161" spans="1:13">
      <c r="A161" s="40">
        <v>159</v>
      </c>
      <c r="B161" s="60" t="s">
        <v>38</v>
      </c>
      <c r="C161" s="40">
        <v>7</v>
      </c>
      <c r="D161" s="60" t="s">
        <v>27</v>
      </c>
      <c r="E161" s="60" t="s">
        <v>28</v>
      </c>
      <c r="F161" s="60" t="s">
        <v>20</v>
      </c>
      <c r="G161" s="40">
        <v>2324</v>
      </c>
      <c r="H161" s="41">
        <v>25</v>
      </c>
      <c r="I161" s="61">
        <v>58100</v>
      </c>
      <c r="J161" s="62">
        <v>0</v>
      </c>
      <c r="K161" s="61">
        <v>58100</v>
      </c>
      <c r="L161" s="40" t="s">
        <v>18</v>
      </c>
      <c r="M161" s="40">
        <v>3.9</v>
      </c>
    </row>
    <row r="162" spans="1:13">
      <c r="A162" s="35">
        <v>160</v>
      </c>
      <c r="B162" s="63" t="s">
        <v>38</v>
      </c>
      <c r="C162" s="35">
        <v>7</v>
      </c>
      <c r="D162" s="63" t="s">
        <v>27</v>
      </c>
      <c r="E162" s="63" t="s">
        <v>28</v>
      </c>
      <c r="F162" s="63" t="s">
        <v>21</v>
      </c>
      <c r="G162" s="35">
        <v>2970</v>
      </c>
      <c r="H162" s="36">
        <v>25</v>
      </c>
      <c r="I162" s="64">
        <v>74250</v>
      </c>
      <c r="J162" s="65">
        <v>0</v>
      </c>
      <c r="K162" s="64">
        <v>74250</v>
      </c>
      <c r="L162" s="35" t="s">
        <v>18</v>
      </c>
      <c r="M162" s="35">
        <v>4</v>
      </c>
    </row>
    <row r="163" spans="1:13">
      <c r="A163" s="40">
        <v>161</v>
      </c>
      <c r="B163" s="60" t="s">
        <v>38</v>
      </c>
      <c r="C163" s="40">
        <v>7</v>
      </c>
      <c r="D163" s="60" t="s">
        <v>29</v>
      </c>
      <c r="E163" s="60" t="s">
        <v>30</v>
      </c>
      <c r="F163" s="60" t="s">
        <v>17</v>
      </c>
      <c r="G163" s="40">
        <v>947</v>
      </c>
      <c r="H163" s="41">
        <v>90</v>
      </c>
      <c r="I163" s="61">
        <v>85230</v>
      </c>
      <c r="J163" s="62">
        <v>0</v>
      </c>
      <c r="K163" s="61">
        <v>85230</v>
      </c>
      <c r="L163" s="40" t="s">
        <v>18</v>
      </c>
      <c r="M163" s="40">
        <v>4.8</v>
      </c>
    </row>
    <row r="164" spans="1:13">
      <c r="A164" s="35">
        <v>162</v>
      </c>
      <c r="B164" s="63" t="s">
        <v>38</v>
      </c>
      <c r="C164" s="35">
        <v>7</v>
      </c>
      <c r="D164" s="63" t="s">
        <v>29</v>
      </c>
      <c r="E164" s="63" t="s">
        <v>30</v>
      </c>
      <c r="F164" s="63" t="s">
        <v>19</v>
      </c>
      <c r="G164" s="35">
        <v>1061</v>
      </c>
      <c r="H164" s="36">
        <v>90</v>
      </c>
      <c r="I164" s="64">
        <v>95490</v>
      </c>
      <c r="J164" s="65">
        <v>0</v>
      </c>
      <c r="K164" s="64">
        <v>95490</v>
      </c>
      <c r="L164" s="35" t="s">
        <v>18</v>
      </c>
      <c r="M164" s="35">
        <v>4.2</v>
      </c>
    </row>
    <row r="165" spans="1:13">
      <c r="A165" s="40">
        <v>163</v>
      </c>
      <c r="B165" s="60" t="s">
        <v>38</v>
      </c>
      <c r="C165" s="40">
        <v>7</v>
      </c>
      <c r="D165" s="60" t="s">
        <v>29</v>
      </c>
      <c r="E165" s="60" t="s">
        <v>30</v>
      </c>
      <c r="F165" s="60" t="s">
        <v>20</v>
      </c>
      <c r="G165" s="40">
        <v>714</v>
      </c>
      <c r="H165" s="41">
        <v>90</v>
      </c>
      <c r="I165" s="61">
        <v>64260</v>
      </c>
      <c r="J165" s="62">
        <v>0</v>
      </c>
      <c r="K165" s="61">
        <v>64260</v>
      </c>
      <c r="L165" s="40" t="s">
        <v>18</v>
      </c>
      <c r="M165" s="40">
        <v>4.8</v>
      </c>
    </row>
    <row r="166" spans="1:13">
      <c r="A166" s="35">
        <v>164</v>
      </c>
      <c r="B166" s="63" t="s">
        <v>38</v>
      </c>
      <c r="C166" s="35">
        <v>7</v>
      </c>
      <c r="D166" s="63" t="s">
        <v>29</v>
      </c>
      <c r="E166" s="63" t="s">
        <v>30</v>
      </c>
      <c r="F166" s="63" t="s">
        <v>21</v>
      </c>
      <c r="G166" s="35">
        <v>856</v>
      </c>
      <c r="H166" s="36">
        <v>90</v>
      </c>
      <c r="I166" s="64">
        <v>77040</v>
      </c>
      <c r="J166" s="65">
        <v>0</v>
      </c>
      <c r="K166" s="64">
        <v>77040</v>
      </c>
      <c r="L166" s="35" t="s">
        <v>18</v>
      </c>
      <c r="M166" s="35">
        <v>4.8</v>
      </c>
    </row>
    <row r="167" spans="1:13">
      <c r="A167" s="40">
        <v>165</v>
      </c>
      <c r="B167" s="60" t="s">
        <v>38</v>
      </c>
      <c r="C167" s="40">
        <v>7</v>
      </c>
      <c r="D167" s="60" t="s">
        <v>31</v>
      </c>
      <c r="E167" s="60" t="s">
        <v>32</v>
      </c>
      <c r="F167" s="60" t="s">
        <v>17</v>
      </c>
      <c r="G167" s="40">
        <v>2218</v>
      </c>
      <c r="H167" s="41">
        <v>35</v>
      </c>
      <c r="I167" s="61">
        <v>77630</v>
      </c>
      <c r="J167" s="62">
        <v>5</v>
      </c>
      <c r="K167" s="61">
        <v>73748</v>
      </c>
      <c r="L167" s="40" t="s">
        <v>22</v>
      </c>
      <c r="M167" s="40">
        <v>3.9</v>
      </c>
    </row>
    <row r="168" spans="1:13">
      <c r="A168" s="35">
        <v>166</v>
      </c>
      <c r="B168" s="63" t="s">
        <v>38</v>
      </c>
      <c r="C168" s="35">
        <v>7</v>
      </c>
      <c r="D168" s="63" t="s">
        <v>31</v>
      </c>
      <c r="E168" s="63" t="s">
        <v>32</v>
      </c>
      <c r="F168" s="63" t="s">
        <v>19</v>
      </c>
      <c r="G168" s="35">
        <v>1842</v>
      </c>
      <c r="H168" s="36">
        <v>35</v>
      </c>
      <c r="I168" s="64">
        <v>64470</v>
      </c>
      <c r="J168" s="65">
        <v>10</v>
      </c>
      <c r="K168" s="64">
        <v>58023</v>
      </c>
      <c r="L168" s="35" t="s">
        <v>22</v>
      </c>
      <c r="M168" s="35">
        <v>4.2</v>
      </c>
    </row>
    <row r="169" spans="1:13">
      <c r="A169" s="40">
        <v>167</v>
      </c>
      <c r="B169" s="60" t="s">
        <v>38</v>
      </c>
      <c r="C169" s="40">
        <v>7</v>
      </c>
      <c r="D169" s="60" t="s">
        <v>31</v>
      </c>
      <c r="E169" s="60" t="s">
        <v>32</v>
      </c>
      <c r="F169" s="60" t="s">
        <v>20</v>
      </c>
      <c r="G169" s="40">
        <v>1588</v>
      </c>
      <c r="H169" s="41">
        <v>35</v>
      </c>
      <c r="I169" s="61">
        <v>55580</v>
      </c>
      <c r="J169" s="62">
        <v>10</v>
      </c>
      <c r="K169" s="61">
        <v>50022</v>
      </c>
      <c r="L169" s="40" t="s">
        <v>22</v>
      </c>
      <c r="M169" s="40">
        <v>3.9</v>
      </c>
    </row>
    <row r="170" spans="1:13">
      <c r="A170" s="35">
        <v>168</v>
      </c>
      <c r="B170" s="63" t="s">
        <v>38</v>
      </c>
      <c r="C170" s="35">
        <v>7</v>
      </c>
      <c r="D170" s="63" t="s">
        <v>31</v>
      </c>
      <c r="E170" s="63" t="s">
        <v>32</v>
      </c>
      <c r="F170" s="63" t="s">
        <v>21</v>
      </c>
      <c r="G170" s="35">
        <v>1959</v>
      </c>
      <c r="H170" s="36">
        <v>35</v>
      </c>
      <c r="I170" s="64">
        <v>68565</v>
      </c>
      <c r="J170" s="65">
        <v>0</v>
      </c>
      <c r="K170" s="64">
        <v>68565</v>
      </c>
      <c r="L170" s="35" t="s">
        <v>18</v>
      </c>
      <c r="M170" s="35">
        <v>4.9</v>
      </c>
    </row>
    <row r="171" spans="1:13">
      <c r="A171" s="40">
        <v>169</v>
      </c>
      <c r="B171" s="60" t="s">
        <v>39</v>
      </c>
      <c r="C171" s="40">
        <v>8</v>
      </c>
      <c r="D171" s="60" t="s">
        <v>15</v>
      </c>
      <c r="E171" s="60" t="s">
        <v>16</v>
      </c>
      <c r="F171" s="60" t="s">
        <v>17</v>
      </c>
      <c r="G171" s="40">
        <v>2640</v>
      </c>
      <c r="H171" s="41">
        <v>45</v>
      </c>
      <c r="I171" s="61">
        <v>118800</v>
      </c>
      <c r="J171" s="62">
        <v>0</v>
      </c>
      <c r="K171" s="61">
        <v>118800</v>
      </c>
      <c r="L171" s="40" t="s">
        <v>18</v>
      </c>
      <c r="M171" s="40">
        <v>3.8</v>
      </c>
    </row>
    <row r="172" spans="1:13">
      <c r="A172" s="35">
        <v>170</v>
      </c>
      <c r="B172" s="63" t="s">
        <v>39</v>
      </c>
      <c r="C172" s="35">
        <v>8</v>
      </c>
      <c r="D172" s="63" t="s">
        <v>15</v>
      </c>
      <c r="E172" s="63" t="s">
        <v>16</v>
      </c>
      <c r="F172" s="63" t="s">
        <v>19</v>
      </c>
      <c r="G172" s="35">
        <v>2475</v>
      </c>
      <c r="H172" s="36">
        <v>45</v>
      </c>
      <c r="I172" s="64">
        <v>111375</v>
      </c>
      <c r="J172" s="65">
        <v>0</v>
      </c>
      <c r="K172" s="64">
        <v>111375</v>
      </c>
      <c r="L172" s="35" t="s">
        <v>18</v>
      </c>
      <c r="M172" s="35">
        <v>4.8</v>
      </c>
    </row>
    <row r="173" spans="1:13">
      <c r="A173" s="40">
        <v>171</v>
      </c>
      <c r="B173" s="60" t="s">
        <v>39</v>
      </c>
      <c r="C173" s="40">
        <v>8</v>
      </c>
      <c r="D173" s="60" t="s">
        <v>15</v>
      </c>
      <c r="E173" s="60" t="s">
        <v>16</v>
      </c>
      <c r="F173" s="60" t="s">
        <v>20</v>
      </c>
      <c r="G173" s="40">
        <v>2173</v>
      </c>
      <c r="H173" s="41">
        <v>45</v>
      </c>
      <c r="I173" s="61">
        <v>97785</v>
      </c>
      <c r="J173" s="62">
        <v>0</v>
      </c>
      <c r="K173" s="61">
        <v>97785</v>
      </c>
      <c r="L173" s="40" t="s">
        <v>18</v>
      </c>
      <c r="M173" s="40">
        <v>4.1</v>
      </c>
    </row>
    <row r="174" spans="1:13">
      <c r="A174" s="35">
        <v>172</v>
      </c>
      <c r="B174" s="63" t="s">
        <v>39</v>
      </c>
      <c r="C174" s="35">
        <v>8</v>
      </c>
      <c r="D174" s="63" t="s">
        <v>15</v>
      </c>
      <c r="E174" s="63" t="s">
        <v>16</v>
      </c>
      <c r="F174" s="63" t="s">
        <v>21</v>
      </c>
      <c r="G174" s="35">
        <v>2191</v>
      </c>
      <c r="H174" s="36">
        <v>45</v>
      </c>
      <c r="I174" s="64">
        <v>98595</v>
      </c>
      <c r="J174" s="65">
        <v>0</v>
      </c>
      <c r="K174" s="64">
        <v>98595</v>
      </c>
      <c r="L174" s="35" t="s">
        <v>18</v>
      </c>
      <c r="M174" s="35">
        <v>4.4</v>
      </c>
    </row>
    <row r="175" spans="1:13">
      <c r="A175" s="40">
        <v>173</v>
      </c>
      <c r="B175" s="60" t="s">
        <v>39</v>
      </c>
      <c r="C175" s="40">
        <v>8</v>
      </c>
      <c r="D175" s="60" t="s">
        <v>23</v>
      </c>
      <c r="E175" s="60" t="s">
        <v>24</v>
      </c>
      <c r="F175" s="60" t="s">
        <v>17</v>
      </c>
      <c r="G175" s="40">
        <v>1161</v>
      </c>
      <c r="H175" s="41">
        <v>125</v>
      </c>
      <c r="I175" s="61">
        <v>145125</v>
      </c>
      <c r="J175" s="62">
        <v>0</v>
      </c>
      <c r="K175" s="61">
        <v>145125</v>
      </c>
      <c r="L175" s="40" t="s">
        <v>18</v>
      </c>
      <c r="M175" s="40">
        <v>4.5</v>
      </c>
    </row>
    <row r="176" spans="1:13">
      <c r="A176" s="35">
        <v>174</v>
      </c>
      <c r="B176" s="63" t="s">
        <v>39</v>
      </c>
      <c r="C176" s="35">
        <v>8</v>
      </c>
      <c r="D176" s="63" t="s">
        <v>23</v>
      </c>
      <c r="E176" s="63" t="s">
        <v>24</v>
      </c>
      <c r="F176" s="63" t="s">
        <v>19</v>
      </c>
      <c r="G176" s="35">
        <v>1268</v>
      </c>
      <c r="H176" s="36">
        <v>125</v>
      </c>
      <c r="I176" s="64">
        <v>158500</v>
      </c>
      <c r="J176" s="65">
        <v>0</v>
      </c>
      <c r="K176" s="64">
        <v>158500</v>
      </c>
      <c r="L176" s="35" t="s">
        <v>18</v>
      </c>
      <c r="M176" s="35">
        <v>4.6</v>
      </c>
    </row>
    <row r="177" spans="1:13">
      <c r="A177" s="40">
        <v>175</v>
      </c>
      <c r="B177" s="60" t="s">
        <v>39</v>
      </c>
      <c r="C177" s="40">
        <v>8</v>
      </c>
      <c r="D177" s="60" t="s">
        <v>23</v>
      </c>
      <c r="E177" s="60" t="s">
        <v>24</v>
      </c>
      <c r="F177" s="60" t="s">
        <v>20</v>
      </c>
      <c r="G177" s="40">
        <v>1005</v>
      </c>
      <c r="H177" s="41">
        <v>125</v>
      </c>
      <c r="I177" s="61">
        <v>125625</v>
      </c>
      <c r="J177" s="62">
        <v>0</v>
      </c>
      <c r="K177" s="61">
        <v>125625</v>
      </c>
      <c r="L177" s="40" t="s">
        <v>18</v>
      </c>
      <c r="M177" s="40">
        <v>3.7</v>
      </c>
    </row>
    <row r="178" spans="1:13">
      <c r="A178" s="35">
        <v>176</v>
      </c>
      <c r="B178" s="63" t="s">
        <v>39</v>
      </c>
      <c r="C178" s="35">
        <v>8</v>
      </c>
      <c r="D178" s="63" t="s">
        <v>23</v>
      </c>
      <c r="E178" s="63" t="s">
        <v>24</v>
      </c>
      <c r="F178" s="63" t="s">
        <v>21</v>
      </c>
      <c r="G178" s="35">
        <v>1227</v>
      </c>
      <c r="H178" s="36">
        <v>125</v>
      </c>
      <c r="I178" s="64">
        <v>153375</v>
      </c>
      <c r="J178" s="65">
        <v>0</v>
      </c>
      <c r="K178" s="64">
        <v>153375</v>
      </c>
      <c r="L178" s="35" t="s">
        <v>18</v>
      </c>
      <c r="M178" s="35">
        <v>3.7</v>
      </c>
    </row>
    <row r="179" spans="1:13">
      <c r="A179" s="40">
        <v>177</v>
      </c>
      <c r="B179" s="60" t="s">
        <v>39</v>
      </c>
      <c r="C179" s="40">
        <v>8</v>
      </c>
      <c r="D179" s="60" t="s">
        <v>25</v>
      </c>
      <c r="E179" s="60" t="s">
        <v>26</v>
      </c>
      <c r="F179" s="60" t="s">
        <v>17</v>
      </c>
      <c r="G179" s="40">
        <v>1335</v>
      </c>
      <c r="H179" s="41">
        <v>80</v>
      </c>
      <c r="I179" s="61">
        <v>106800</v>
      </c>
      <c r="J179" s="62">
        <v>0</v>
      </c>
      <c r="K179" s="61">
        <v>106800</v>
      </c>
      <c r="L179" s="40" t="s">
        <v>18</v>
      </c>
      <c r="M179" s="40">
        <v>4.1</v>
      </c>
    </row>
    <row r="180" spans="1:13">
      <c r="A180" s="35">
        <v>178</v>
      </c>
      <c r="B180" s="63" t="s">
        <v>39</v>
      </c>
      <c r="C180" s="35">
        <v>8</v>
      </c>
      <c r="D180" s="63" t="s">
        <v>25</v>
      </c>
      <c r="E180" s="63" t="s">
        <v>26</v>
      </c>
      <c r="F180" s="63" t="s">
        <v>19</v>
      </c>
      <c r="G180" s="35">
        <v>1461</v>
      </c>
      <c r="H180" s="36">
        <v>80</v>
      </c>
      <c r="I180" s="64">
        <v>116880</v>
      </c>
      <c r="J180" s="65">
        <v>0</v>
      </c>
      <c r="K180" s="64">
        <v>116880</v>
      </c>
      <c r="L180" s="35" t="s">
        <v>18</v>
      </c>
      <c r="M180" s="35">
        <v>4.1</v>
      </c>
    </row>
    <row r="181" spans="1:13">
      <c r="A181" s="40">
        <v>179</v>
      </c>
      <c r="B181" s="60" t="s">
        <v>39</v>
      </c>
      <c r="C181" s="40">
        <v>8</v>
      </c>
      <c r="D181" s="60" t="s">
        <v>25</v>
      </c>
      <c r="E181" s="60" t="s">
        <v>26</v>
      </c>
      <c r="F181" s="60" t="s">
        <v>20</v>
      </c>
      <c r="G181" s="40">
        <v>1198</v>
      </c>
      <c r="H181" s="41">
        <v>80</v>
      </c>
      <c r="I181" s="61">
        <v>95840</v>
      </c>
      <c r="J181" s="62">
        <v>0</v>
      </c>
      <c r="K181" s="61">
        <v>95840</v>
      </c>
      <c r="L181" s="40" t="s">
        <v>18</v>
      </c>
      <c r="M181" s="40">
        <v>3.8</v>
      </c>
    </row>
    <row r="182" spans="1:13">
      <c r="A182" s="35">
        <v>180</v>
      </c>
      <c r="B182" s="63" t="s">
        <v>39</v>
      </c>
      <c r="C182" s="35">
        <v>8</v>
      </c>
      <c r="D182" s="63" t="s">
        <v>25</v>
      </c>
      <c r="E182" s="63" t="s">
        <v>26</v>
      </c>
      <c r="F182" s="63" t="s">
        <v>21</v>
      </c>
      <c r="G182" s="35">
        <v>1483</v>
      </c>
      <c r="H182" s="36">
        <v>80</v>
      </c>
      <c r="I182" s="64">
        <v>118640</v>
      </c>
      <c r="J182" s="65">
        <v>15</v>
      </c>
      <c r="K182" s="64">
        <v>100844</v>
      </c>
      <c r="L182" s="35" t="s">
        <v>22</v>
      </c>
      <c r="M182" s="35">
        <v>4.8</v>
      </c>
    </row>
    <row r="183" spans="1:13">
      <c r="A183" s="40">
        <v>181</v>
      </c>
      <c r="B183" s="60" t="s">
        <v>39</v>
      </c>
      <c r="C183" s="40">
        <v>8</v>
      </c>
      <c r="D183" s="60" t="s">
        <v>27</v>
      </c>
      <c r="E183" s="60" t="s">
        <v>28</v>
      </c>
      <c r="F183" s="60" t="s">
        <v>17</v>
      </c>
      <c r="G183" s="40">
        <v>2999</v>
      </c>
      <c r="H183" s="41">
        <v>25</v>
      </c>
      <c r="I183" s="61">
        <v>74975</v>
      </c>
      <c r="J183" s="62">
        <v>0</v>
      </c>
      <c r="K183" s="61">
        <v>74975</v>
      </c>
      <c r="L183" s="40" t="s">
        <v>18</v>
      </c>
      <c r="M183" s="40">
        <v>4.7</v>
      </c>
    </row>
    <row r="184" spans="1:13">
      <c r="A184" s="35">
        <v>182</v>
      </c>
      <c r="B184" s="63" t="s">
        <v>39</v>
      </c>
      <c r="C184" s="35">
        <v>8</v>
      </c>
      <c r="D184" s="63" t="s">
        <v>27</v>
      </c>
      <c r="E184" s="63" t="s">
        <v>28</v>
      </c>
      <c r="F184" s="63" t="s">
        <v>19</v>
      </c>
      <c r="G184" s="35">
        <v>2843</v>
      </c>
      <c r="H184" s="36">
        <v>25</v>
      </c>
      <c r="I184" s="64">
        <v>71075</v>
      </c>
      <c r="J184" s="65">
        <v>0</v>
      </c>
      <c r="K184" s="64">
        <v>71075</v>
      </c>
      <c r="L184" s="35" t="s">
        <v>18</v>
      </c>
      <c r="M184" s="35">
        <v>3.9</v>
      </c>
    </row>
    <row r="185" spans="1:13">
      <c r="A185" s="40">
        <v>183</v>
      </c>
      <c r="B185" s="60" t="s">
        <v>39</v>
      </c>
      <c r="C185" s="40">
        <v>8</v>
      </c>
      <c r="D185" s="60" t="s">
        <v>27</v>
      </c>
      <c r="E185" s="60" t="s">
        <v>28</v>
      </c>
      <c r="F185" s="60" t="s">
        <v>20</v>
      </c>
      <c r="G185" s="40">
        <v>2291</v>
      </c>
      <c r="H185" s="41">
        <v>25</v>
      </c>
      <c r="I185" s="61">
        <v>57275</v>
      </c>
      <c r="J185" s="62">
        <v>0</v>
      </c>
      <c r="K185" s="61">
        <v>57275</v>
      </c>
      <c r="L185" s="40" t="s">
        <v>18</v>
      </c>
      <c r="M185" s="40">
        <v>4.2</v>
      </c>
    </row>
    <row r="186" spans="1:13">
      <c r="A186" s="35">
        <v>184</v>
      </c>
      <c r="B186" s="63" t="s">
        <v>39</v>
      </c>
      <c r="C186" s="35">
        <v>8</v>
      </c>
      <c r="D186" s="63" t="s">
        <v>27</v>
      </c>
      <c r="E186" s="63" t="s">
        <v>28</v>
      </c>
      <c r="F186" s="63" t="s">
        <v>21</v>
      </c>
      <c r="G186" s="35">
        <v>2935</v>
      </c>
      <c r="H186" s="36">
        <v>25</v>
      </c>
      <c r="I186" s="64">
        <v>73375</v>
      </c>
      <c r="J186" s="65">
        <v>0</v>
      </c>
      <c r="K186" s="64">
        <v>73375</v>
      </c>
      <c r="L186" s="35" t="s">
        <v>18</v>
      </c>
      <c r="M186" s="35">
        <v>4.5</v>
      </c>
    </row>
    <row r="187" spans="1:13">
      <c r="A187" s="40">
        <v>185</v>
      </c>
      <c r="B187" s="60" t="s">
        <v>39</v>
      </c>
      <c r="C187" s="40">
        <v>8</v>
      </c>
      <c r="D187" s="60" t="s">
        <v>29</v>
      </c>
      <c r="E187" s="60" t="s">
        <v>30</v>
      </c>
      <c r="F187" s="60" t="s">
        <v>17</v>
      </c>
      <c r="G187" s="40">
        <v>961</v>
      </c>
      <c r="H187" s="41">
        <v>90</v>
      </c>
      <c r="I187" s="61">
        <v>86490</v>
      </c>
      <c r="J187" s="62">
        <v>0</v>
      </c>
      <c r="K187" s="61">
        <v>86490</v>
      </c>
      <c r="L187" s="40" t="s">
        <v>18</v>
      </c>
      <c r="M187" s="40">
        <v>4</v>
      </c>
    </row>
    <row r="188" spans="1:13">
      <c r="A188" s="35">
        <v>186</v>
      </c>
      <c r="B188" s="63" t="s">
        <v>39</v>
      </c>
      <c r="C188" s="35">
        <v>8</v>
      </c>
      <c r="D188" s="63" t="s">
        <v>29</v>
      </c>
      <c r="E188" s="63" t="s">
        <v>30</v>
      </c>
      <c r="F188" s="63" t="s">
        <v>19</v>
      </c>
      <c r="G188" s="35">
        <v>912</v>
      </c>
      <c r="H188" s="36">
        <v>90</v>
      </c>
      <c r="I188" s="64">
        <v>82080</v>
      </c>
      <c r="J188" s="65">
        <v>0</v>
      </c>
      <c r="K188" s="64">
        <v>82080</v>
      </c>
      <c r="L188" s="35" t="s">
        <v>18</v>
      </c>
      <c r="M188" s="35">
        <v>3.9</v>
      </c>
    </row>
    <row r="189" spans="1:13">
      <c r="A189" s="40">
        <v>187</v>
      </c>
      <c r="B189" s="60" t="s">
        <v>39</v>
      </c>
      <c r="C189" s="40">
        <v>8</v>
      </c>
      <c r="D189" s="60" t="s">
        <v>29</v>
      </c>
      <c r="E189" s="60" t="s">
        <v>30</v>
      </c>
      <c r="F189" s="60" t="s">
        <v>20</v>
      </c>
      <c r="G189" s="40">
        <v>787</v>
      </c>
      <c r="H189" s="41">
        <v>90</v>
      </c>
      <c r="I189" s="61">
        <v>70830</v>
      </c>
      <c r="J189" s="62">
        <v>0</v>
      </c>
      <c r="K189" s="61">
        <v>70830</v>
      </c>
      <c r="L189" s="40" t="s">
        <v>18</v>
      </c>
      <c r="M189" s="40">
        <v>4.7</v>
      </c>
    </row>
    <row r="190" spans="1:13">
      <c r="A190" s="35">
        <v>188</v>
      </c>
      <c r="B190" s="63" t="s">
        <v>39</v>
      </c>
      <c r="C190" s="35">
        <v>8</v>
      </c>
      <c r="D190" s="63" t="s">
        <v>29</v>
      </c>
      <c r="E190" s="63" t="s">
        <v>30</v>
      </c>
      <c r="F190" s="63" t="s">
        <v>21</v>
      </c>
      <c r="G190" s="35">
        <v>922</v>
      </c>
      <c r="H190" s="36">
        <v>90</v>
      </c>
      <c r="I190" s="64">
        <v>82980</v>
      </c>
      <c r="J190" s="65">
        <v>0</v>
      </c>
      <c r="K190" s="64">
        <v>82980</v>
      </c>
      <c r="L190" s="35" t="s">
        <v>18</v>
      </c>
      <c r="M190" s="35">
        <v>3.8</v>
      </c>
    </row>
    <row r="191" spans="1:13">
      <c r="A191" s="40">
        <v>189</v>
      </c>
      <c r="B191" s="60" t="s">
        <v>39</v>
      </c>
      <c r="C191" s="40">
        <v>8</v>
      </c>
      <c r="D191" s="60" t="s">
        <v>31</v>
      </c>
      <c r="E191" s="60" t="s">
        <v>32</v>
      </c>
      <c r="F191" s="60" t="s">
        <v>17</v>
      </c>
      <c r="G191" s="40">
        <v>1881</v>
      </c>
      <c r="H191" s="41">
        <v>35</v>
      </c>
      <c r="I191" s="61">
        <v>65835</v>
      </c>
      <c r="J191" s="62">
        <v>0</v>
      </c>
      <c r="K191" s="61">
        <v>65835</v>
      </c>
      <c r="L191" s="40" t="s">
        <v>18</v>
      </c>
      <c r="M191" s="40">
        <v>4.3</v>
      </c>
    </row>
    <row r="192" spans="1:13">
      <c r="A192" s="35">
        <v>190</v>
      </c>
      <c r="B192" s="63" t="s">
        <v>39</v>
      </c>
      <c r="C192" s="35">
        <v>8</v>
      </c>
      <c r="D192" s="63" t="s">
        <v>31</v>
      </c>
      <c r="E192" s="63" t="s">
        <v>32</v>
      </c>
      <c r="F192" s="63" t="s">
        <v>19</v>
      </c>
      <c r="G192" s="35">
        <v>1879</v>
      </c>
      <c r="H192" s="36">
        <v>35</v>
      </c>
      <c r="I192" s="64">
        <v>65765</v>
      </c>
      <c r="J192" s="65">
        <v>0</v>
      </c>
      <c r="K192" s="64">
        <v>65765</v>
      </c>
      <c r="L192" s="35" t="s">
        <v>18</v>
      </c>
      <c r="M192" s="35">
        <v>4.5</v>
      </c>
    </row>
    <row r="193" spans="1:13">
      <c r="A193" s="40">
        <v>191</v>
      </c>
      <c r="B193" s="60" t="s">
        <v>39</v>
      </c>
      <c r="C193" s="40">
        <v>8</v>
      </c>
      <c r="D193" s="60" t="s">
        <v>31</v>
      </c>
      <c r="E193" s="60" t="s">
        <v>32</v>
      </c>
      <c r="F193" s="60" t="s">
        <v>20</v>
      </c>
      <c r="G193" s="40">
        <v>1361</v>
      </c>
      <c r="H193" s="41">
        <v>35</v>
      </c>
      <c r="I193" s="61">
        <v>47635</v>
      </c>
      <c r="J193" s="62">
        <v>0</v>
      </c>
      <c r="K193" s="61">
        <v>47635</v>
      </c>
      <c r="L193" s="40" t="s">
        <v>18</v>
      </c>
      <c r="M193" s="40">
        <v>4</v>
      </c>
    </row>
    <row r="194" spans="1:13">
      <c r="A194" s="35">
        <v>192</v>
      </c>
      <c r="B194" s="63" t="s">
        <v>39</v>
      </c>
      <c r="C194" s="35">
        <v>8</v>
      </c>
      <c r="D194" s="63" t="s">
        <v>31</v>
      </c>
      <c r="E194" s="63" t="s">
        <v>32</v>
      </c>
      <c r="F194" s="63" t="s">
        <v>21</v>
      </c>
      <c r="G194" s="35">
        <v>1724</v>
      </c>
      <c r="H194" s="36">
        <v>35</v>
      </c>
      <c r="I194" s="64">
        <v>60340</v>
      </c>
      <c r="J194" s="65">
        <v>0</v>
      </c>
      <c r="K194" s="64">
        <v>60340</v>
      </c>
      <c r="L194" s="35" t="s">
        <v>18</v>
      </c>
      <c r="M194" s="35">
        <v>4.5</v>
      </c>
    </row>
    <row r="195" spans="1:13">
      <c r="A195" s="40">
        <v>193</v>
      </c>
      <c r="B195" s="60" t="s">
        <v>40</v>
      </c>
      <c r="C195" s="40">
        <v>9</v>
      </c>
      <c r="D195" s="60" t="s">
        <v>15</v>
      </c>
      <c r="E195" s="60" t="s">
        <v>16</v>
      </c>
      <c r="F195" s="60" t="s">
        <v>17</v>
      </c>
      <c r="G195" s="40">
        <v>2205</v>
      </c>
      <c r="H195" s="41">
        <v>45</v>
      </c>
      <c r="I195" s="61">
        <v>99225</v>
      </c>
      <c r="J195" s="62">
        <v>0</v>
      </c>
      <c r="K195" s="61">
        <v>99225</v>
      </c>
      <c r="L195" s="40" t="s">
        <v>18</v>
      </c>
      <c r="M195" s="40">
        <v>4</v>
      </c>
    </row>
    <row r="196" spans="1:13">
      <c r="A196" s="35">
        <v>194</v>
      </c>
      <c r="B196" s="63" t="s">
        <v>40</v>
      </c>
      <c r="C196" s="35">
        <v>9</v>
      </c>
      <c r="D196" s="63" t="s">
        <v>15</v>
      </c>
      <c r="E196" s="63" t="s">
        <v>16</v>
      </c>
      <c r="F196" s="63" t="s">
        <v>19</v>
      </c>
      <c r="G196" s="35">
        <v>2164</v>
      </c>
      <c r="H196" s="36">
        <v>45</v>
      </c>
      <c r="I196" s="64">
        <v>97380</v>
      </c>
      <c r="J196" s="65">
        <v>0</v>
      </c>
      <c r="K196" s="64">
        <v>97380</v>
      </c>
      <c r="L196" s="35" t="s">
        <v>18</v>
      </c>
      <c r="M196" s="35">
        <v>4.1</v>
      </c>
    </row>
    <row r="197" spans="1:13">
      <c r="A197" s="40">
        <v>195</v>
      </c>
      <c r="B197" s="60" t="s">
        <v>40</v>
      </c>
      <c r="C197" s="40">
        <v>9</v>
      </c>
      <c r="D197" s="60" t="s">
        <v>15</v>
      </c>
      <c r="E197" s="60" t="s">
        <v>16</v>
      </c>
      <c r="F197" s="60" t="s">
        <v>20</v>
      </c>
      <c r="G197" s="40">
        <v>1661</v>
      </c>
      <c r="H197" s="41">
        <v>45</v>
      </c>
      <c r="I197" s="61">
        <v>74745</v>
      </c>
      <c r="J197" s="62">
        <v>0</v>
      </c>
      <c r="K197" s="61">
        <v>74745</v>
      </c>
      <c r="L197" s="40" t="s">
        <v>18</v>
      </c>
      <c r="M197" s="40">
        <v>3.9</v>
      </c>
    </row>
    <row r="198" spans="1:13">
      <c r="A198" s="35">
        <v>196</v>
      </c>
      <c r="B198" s="63" t="s">
        <v>40</v>
      </c>
      <c r="C198" s="35">
        <v>9</v>
      </c>
      <c r="D198" s="63" t="s">
        <v>15</v>
      </c>
      <c r="E198" s="63" t="s">
        <v>16</v>
      </c>
      <c r="F198" s="63" t="s">
        <v>21</v>
      </c>
      <c r="G198" s="35">
        <v>1986</v>
      </c>
      <c r="H198" s="36">
        <v>45</v>
      </c>
      <c r="I198" s="64">
        <v>89370</v>
      </c>
      <c r="J198" s="65">
        <v>0</v>
      </c>
      <c r="K198" s="64">
        <v>89370</v>
      </c>
      <c r="L198" s="35" t="s">
        <v>18</v>
      </c>
      <c r="M198" s="35">
        <v>4.6</v>
      </c>
    </row>
    <row r="199" spans="1:13">
      <c r="A199" s="40">
        <v>197</v>
      </c>
      <c r="B199" s="60" t="s">
        <v>40</v>
      </c>
      <c r="C199" s="40">
        <v>9</v>
      </c>
      <c r="D199" s="60" t="s">
        <v>23</v>
      </c>
      <c r="E199" s="60" t="s">
        <v>24</v>
      </c>
      <c r="F199" s="60" t="s">
        <v>17</v>
      </c>
      <c r="G199" s="40">
        <v>1138</v>
      </c>
      <c r="H199" s="41">
        <v>125</v>
      </c>
      <c r="I199" s="61">
        <v>142250</v>
      </c>
      <c r="J199" s="62">
        <v>0</v>
      </c>
      <c r="K199" s="61">
        <v>142250</v>
      </c>
      <c r="L199" s="40" t="s">
        <v>18</v>
      </c>
      <c r="M199" s="40">
        <v>3.8</v>
      </c>
    </row>
    <row r="200" spans="1:13">
      <c r="A200" s="35">
        <v>198</v>
      </c>
      <c r="B200" s="63" t="s">
        <v>40</v>
      </c>
      <c r="C200" s="35">
        <v>9</v>
      </c>
      <c r="D200" s="63" t="s">
        <v>23</v>
      </c>
      <c r="E200" s="63" t="s">
        <v>24</v>
      </c>
      <c r="F200" s="63" t="s">
        <v>19</v>
      </c>
      <c r="G200" s="35">
        <v>1011</v>
      </c>
      <c r="H200" s="36">
        <v>125</v>
      </c>
      <c r="I200" s="64">
        <v>126375</v>
      </c>
      <c r="J200" s="65">
        <v>0</v>
      </c>
      <c r="K200" s="64">
        <v>126375</v>
      </c>
      <c r="L200" s="35" t="s">
        <v>18</v>
      </c>
      <c r="M200" s="35">
        <v>4.4</v>
      </c>
    </row>
    <row r="201" spans="1:13">
      <c r="A201" s="40">
        <v>199</v>
      </c>
      <c r="B201" s="60" t="s">
        <v>40</v>
      </c>
      <c r="C201" s="40">
        <v>9</v>
      </c>
      <c r="D201" s="60" t="s">
        <v>23</v>
      </c>
      <c r="E201" s="60" t="s">
        <v>24</v>
      </c>
      <c r="F201" s="60" t="s">
        <v>20</v>
      </c>
      <c r="G201" s="40">
        <v>891</v>
      </c>
      <c r="H201" s="41">
        <v>125</v>
      </c>
      <c r="I201" s="61">
        <v>111375</v>
      </c>
      <c r="J201" s="62">
        <v>0</v>
      </c>
      <c r="K201" s="61">
        <v>111375</v>
      </c>
      <c r="L201" s="40" t="s">
        <v>18</v>
      </c>
      <c r="M201" s="40">
        <v>4.9</v>
      </c>
    </row>
    <row r="202" spans="1:13">
      <c r="A202" s="35">
        <v>200</v>
      </c>
      <c r="B202" s="63" t="s">
        <v>40</v>
      </c>
      <c r="C202" s="35">
        <v>9</v>
      </c>
      <c r="D202" s="63" t="s">
        <v>23</v>
      </c>
      <c r="E202" s="63" t="s">
        <v>24</v>
      </c>
      <c r="F202" s="63" t="s">
        <v>21</v>
      </c>
      <c r="G202" s="35">
        <v>988</v>
      </c>
      <c r="H202" s="36">
        <v>125</v>
      </c>
      <c r="I202" s="64">
        <v>123500</v>
      </c>
      <c r="J202" s="65">
        <v>0</v>
      </c>
      <c r="K202" s="64">
        <v>123500</v>
      </c>
      <c r="L202" s="35" t="s">
        <v>18</v>
      </c>
      <c r="M202" s="35">
        <v>4.1</v>
      </c>
    </row>
    <row r="203" spans="1:13">
      <c r="A203" s="40">
        <v>201</v>
      </c>
      <c r="B203" s="60" t="s">
        <v>40</v>
      </c>
      <c r="C203" s="40">
        <v>9</v>
      </c>
      <c r="D203" s="60" t="s">
        <v>25</v>
      </c>
      <c r="E203" s="60" t="s">
        <v>26</v>
      </c>
      <c r="F203" s="60" t="s">
        <v>17</v>
      </c>
      <c r="G203" s="40">
        <v>1397</v>
      </c>
      <c r="H203" s="41">
        <v>80</v>
      </c>
      <c r="I203" s="61">
        <v>111760</v>
      </c>
      <c r="J203" s="62">
        <v>0</v>
      </c>
      <c r="K203" s="61">
        <v>111760</v>
      </c>
      <c r="L203" s="40" t="s">
        <v>18</v>
      </c>
      <c r="M203" s="40">
        <v>3.8</v>
      </c>
    </row>
    <row r="204" spans="1:13">
      <c r="A204" s="35">
        <v>202</v>
      </c>
      <c r="B204" s="63" t="s">
        <v>40</v>
      </c>
      <c r="C204" s="35">
        <v>9</v>
      </c>
      <c r="D204" s="63" t="s">
        <v>25</v>
      </c>
      <c r="E204" s="63" t="s">
        <v>26</v>
      </c>
      <c r="F204" s="63" t="s">
        <v>19</v>
      </c>
      <c r="G204" s="35">
        <v>1323</v>
      </c>
      <c r="H204" s="36">
        <v>80</v>
      </c>
      <c r="I204" s="64">
        <v>105840</v>
      </c>
      <c r="J204" s="65">
        <v>5</v>
      </c>
      <c r="K204" s="64">
        <v>100548</v>
      </c>
      <c r="L204" s="35" t="s">
        <v>22</v>
      </c>
      <c r="M204" s="35">
        <v>4.5</v>
      </c>
    </row>
    <row r="205" spans="1:13">
      <c r="A205" s="40">
        <v>203</v>
      </c>
      <c r="B205" s="60" t="s">
        <v>40</v>
      </c>
      <c r="C205" s="40">
        <v>9</v>
      </c>
      <c r="D205" s="60" t="s">
        <v>25</v>
      </c>
      <c r="E205" s="60" t="s">
        <v>26</v>
      </c>
      <c r="F205" s="60" t="s">
        <v>20</v>
      </c>
      <c r="G205" s="40">
        <v>963</v>
      </c>
      <c r="H205" s="41">
        <v>80</v>
      </c>
      <c r="I205" s="61">
        <v>77040</v>
      </c>
      <c r="J205" s="62">
        <v>20</v>
      </c>
      <c r="K205" s="61">
        <v>61632</v>
      </c>
      <c r="L205" s="40" t="s">
        <v>22</v>
      </c>
      <c r="M205" s="40">
        <v>3.6</v>
      </c>
    </row>
    <row r="206" spans="1:13">
      <c r="A206" s="35">
        <v>204</v>
      </c>
      <c r="B206" s="63" t="s">
        <v>40</v>
      </c>
      <c r="C206" s="35">
        <v>9</v>
      </c>
      <c r="D206" s="63" t="s">
        <v>25</v>
      </c>
      <c r="E206" s="63" t="s">
        <v>26</v>
      </c>
      <c r="F206" s="63" t="s">
        <v>21</v>
      </c>
      <c r="G206" s="35">
        <v>1264</v>
      </c>
      <c r="H206" s="36">
        <v>80</v>
      </c>
      <c r="I206" s="64">
        <v>101120</v>
      </c>
      <c r="J206" s="65">
        <v>0</v>
      </c>
      <c r="K206" s="64">
        <v>101120</v>
      </c>
      <c r="L206" s="35" t="s">
        <v>18</v>
      </c>
      <c r="M206" s="35">
        <v>4</v>
      </c>
    </row>
    <row r="207" spans="1:13">
      <c r="A207" s="40">
        <v>205</v>
      </c>
      <c r="B207" s="60" t="s">
        <v>40</v>
      </c>
      <c r="C207" s="40">
        <v>9</v>
      </c>
      <c r="D207" s="60" t="s">
        <v>27</v>
      </c>
      <c r="E207" s="60" t="s">
        <v>28</v>
      </c>
      <c r="F207" s="60" t="s">
        <v>17</v>
      </c>
      <c r="G207" s="40">
        <v>2503</v>
      </c>
      <c r="H207" s="41">
        <v>25</v>
      </c>
      <c r="I207" s="61">
        <v>62575</v>
      </c>
      <c r="J207" s="62">
        <v>0</v>
      </c>
      <c r="K207" s="61">
        <v>62575</v>
      </c>
      <c r="L207" s="40" t="s">
        <v>18</v>
      </c>
      <c r="M207" s="40">
        <v>4.7</v>
      </c>
    </row>
    <row r="208" spans="1:13">
      <c r="A208" s="35">
        <v>206</v>
      </c>
      <c r="B208" s="63" t="s">
        <v>40</v>
      </c>
      <c r="C208" s="35">
        <v>9</v>
      </c>
      <c r="D208" s="63" t="s">
        <v>27</v>
      </c>
      <c r="E208" s="63" t="s">
        <v>28</v>
      </c>
      <c r="F208" s="63" t="s">
        <v>19</v>
      </c>
      <c r="G208" s="35">
        <v>2551</v>
      </c>
      <c r="H208" s="36">
        <v>25</v>
      </c>
      <c r="I208" s="64">
        <v>63775</v>
      </c>
      <c r="J208" s="65">
        <v>5</v>
      </c>
      <c r="K208" s="64">
        <v>60586</v>
      </c>
      <c r="L208" s="35" t="s">
        <v>22</v>
      </c>
      <c r="M208" s="35">
        <v>3.7</v>
      </c>
    </row>
    <row r="209" spans="1:13">
      <c r="A209" s="40">
        <v>207</v>
      </c>
      <c r="B209" s="60" t="s">
        <v>40</v>
      </c>
      <c r="C209" s="40">
        <v>9</v>
      </c>
      <c r="D209" s="60" t="s">
        <v>27</v>
      </c>
      <c r="E209" s="60" t="s">
        <v>28</v>
      </c>
      <c r="F209" s="60" t="s">
        <v>20</v>
      </c>
      <c r="G209" s="40">
        <v>1901</v>
      </c>
      <c r="H209" s="41">
        <v>25</v>
      </c>
      <c r="I209" s="61">
        <v>47525</v>
      </c>
      <c r="J209" s="62">
        <v>0</v>
      </c>
      <c r="K209" s="61">
        <v>47525</v>
      </c>
      <c r="L209" s="40" t="s">
        <v>18</v>
      </c>
      <c r="M209" s="40">
        <v>3.8</v>
      </c>
    </row>
    <row r="210" spans="1:13">
      <c r="A210" s="35">
        <v>208</v>
      </c>
      <c r="B210" s="63" t="s">
        <v>40</v>
      </c>
      <c r="C210" s="35">
        <v>9</v>
      </c>
      <c r="D210" s="63" t="s">
        <v>27</v>
      </c>
      <c r="E210" s="63" t="s">
        <v>28</v>
      </c>
      <c r="F210" s="63" t="s">
        <v>21</v>
      </c>
      <c r="G210" s="35">
        <v>2421</v>
      </c>
      <c r="H210" s="36">
        <v>25</v>
      </c>
      <c r="I210" s="64">
        <v>60525</v>
      </c>
      <c r="J210" s="65">
        <v>0</v>
      </c>
      <c r="K210" s="64">
        <v>60525</v>
      </c>
      <c r="L210" s="35" t="s">
        <v>18</v>
      </c>
      <c r="M210" s="35">
        <v>4.9</v>
      </c>
    </row>
    <row r="211" spans="1:13">
      <c r="A211" s="40">
        <v>209</v>
      </c>
      <c r="B211" s="60" t="s">
        <v>40</v>
      </c>
      <c r="C211" s="40">
        <v>9</v>
      </c>
      <c r="D211" s="60" t="s">
        <v>29</v>
      </c>
      <c r="E211" s="60" t="s">
        <v>30</v>
      </c>
      <c r="F211" s="60" t="s">
        <v>17</v>
      </c>
      <c r="G211" s="40">
        <v>868</v>
      </c>
      <c r="H211" s="41">
        <v>90</v>
      </c>
      <c r="I211" s="61">
        <v>78120</v>
      </c>
      <c r="J211" s="62">
        <v>20</v>
      </c>
      <c r="K211" s="61">
        <v>62496</v>
      </c>
      <c r="L211" s="40" t="s">
        <v>22</v>
      </c>
      <c r="M211" s="40">
        <v>4.6</v>
      </c>
    </row>
    <row r="212" spans="1:13">
      <c r="A212" s="35">
        <v>210</v>
      </c>
      <c r="B212" s="63" t="s">
        <v>40</v>
      </c>
      <c r="C212" s="35">
        <v>9</v>
      </c>
      <c r="D212" s="63" t="s">
        <v>29</v>
      </c>
      <c r="E212" s="63" t="s">
        <v>30</v>
      </c>
      <c r="F212" s="63" t="s">
        <v>19</v>
      </c>
      <c r="G212" s="35">
        <v>836</v>
      </c>
      <c r="H212" s="36">
        <v>90</v>
      </c>
      <c r="I212" s="64">
        <v>75240</v>
      </c>
      <c r="J212" s="65">
        <v>0</v>
      </c>
      <c r="K212" s="64">
        <v>75240</v>
      </c>
      <c r="L212" s="35" t="s">
        <v>18</v>
      </c>
      <c r="M212" s="35">
        <v>4.2</v>
      </c>
    </row>
    <row r="213" spans="1:13">
      <c r="A213" s="40">
        <v>211</v>
      </c>
      <c r="B213" s="60" t="s">
        <v>40</v>
      </c>
      <c r="C213" s="40">
        <v>9</v>
      </c>
      <c r="D213" s="60" t="s">
        <v>29</v>
      </c>
      <c r="E213" s="60" t="s">
        <v>30</v>
      </c>
      <c r="F213" s="60" t="s">
        <v>20</v>
      </c>
      <c r="G213" s="40">
        <v>736</v>
      </c>
      <c r="H213" s="41">
        <v>90</v>
      </c>
      <c r="I213" s="61">
        <v>66240</v>
      </c>
      <c r="J213" s="62">
        <v>0</v>
      </c>
      <c r="K213" s="61">
        <v>66240</v>
      </c>
      <c r="L213" s="40" t="s">
        <v>18</v>
      </c>
      <c r="M213" s="40">
        <v>4.9</v>
      </c>
    </row>
    <row r="214" spans="1:13">
      <c r="A214" s="35">
        <v>212</v>
      </c>
      <c r="B214" s="63" t="s">
        <v>40</v>
      </c>
      <c r="C214" s="35">
        <v>9</v>
      </c>
      <c r="D214" s="63" t="s">
        <v>29</v>
      </c>
      <c r="E214" s="63" t="s">
        <v>30</v>
      </c>
      <c r="F214" s="63" t="s">
        <v>21</v>
      </c>
      <c r="G214" s="35">
        <v>831</v>
      </c>
      <c r="H214" s="36">
        <v>90</v>
      </c>
      <c r="I214" s="64">
        <v>74790</v>
      </c>
      <c r="J214" s="65">
        <v>0</v>
      </c>
      <c r="K214" s="64">
        <v>74790</v>
      </c>
      <c r="L214" s="35" t="s">
        <v>18</v>
      </c>
      <c r="M214" s="35">
        <v>4.4</v>
      </c>
    </row>
    <row r="215" spans="1:13">
      <c r="A215" s="40">
        <v>213</v>
      </c>
      <c r="B215" s="60" t="s">
        <v>40</v>
      </c>
      <c r="C215" s="40">
        <v>9</v>
      </c>
      <c r="D215" s="60" t="s">
        <v>31</v>
      </c>
      <c r="E215" s="60" t="s">
        <v>32</v>
      </c>
      <c r="F215" s="60" t="s">
        <v>17</v>
      </c>
      <c r="G215" s="40">
        <v>1875</v>
      </c>
      <c r="H215" s="41">
        <v>35</v>
      </c>
      <c r="I215" s="61">
        <v>65625</v>
      </c>
      <c r="J215" s="62">
        <v>0</v>
      </c>
      <c r="K215" s="61">
        <v>65625</v>
      </c>
      <c r="L215" s="40" t="s">
        <v>18</v>
      </c>
      <c r="M215" s="40">
        <v>3.9</v>
      </c>
    </row>
    <row r="216" spans="1:13">
      <c r="A216" s="35">
        <v>214</v>
      </c>
      <c r="B216" s="63" t="s">
        <v>40</v>
      </c>
      <c r="C216" s="35">
        <v>9</v>
      </c>
      <c r="D216" s="63" t="s">
        <v>31</v>
      </c>
      <c r="E216" s="63" t="s">
        <v>32</v>
      </c>
      <c r="F216" s="63" t="s">
        <v>19</v>
      </c>
      <c r="G216" s="35">
        <v>1727</v>
      </c>
      <c r="H216" s="36">
        <v>35</v>
      </c>
      <c r="I216" s="64">
        <v>60445</v>
      </c>
      <c r="J216" s="65">
        <v>0</v>
      </c>
      <c r="K216" s="64">
        <v>60445</v>
      </c>
      <c r="L216" s="35" t="s">
        <v>18</v>
      </c>
      <c r="M216" s="35">
        <v>3.8</v>
      </c>
    </row>
    <row r="217" spans="1:13">
      <c r="A217" s="40">
        <v>215</v>
      </c>
      <c r="B217" s="60" t="s">
        <v>40</v>
      </c>
      <c r="C217" s="40">
        <v>9</v>
      </c>
      <c r="D217" s="60" t="s">
        <v>31</v>
      </c>
      <c r="E217" s="60" t="s">
        <v>32</v>
      </c>
      <c r="F217" s="60" t="s">
        <v>20</v>
      </c>
      <c r="G217" s="40">
        <v>1243</v>
      </c>
      <c r="H217" s="41">
        <v>35</v>
      </c>
      <c r="I217" s="61">
        <v>43505</v>
      </c>
      <c r="J217" s="62">
        <v>5</v>
      </c>
      <c r="K217" s="61">
        <v>41330</v>
      </c>
      <c r="L217" s="40" t="s">
        <v>22</v>
      </c>
      <c r="M217" s="40">
        <v>4.1</v>
      </c>
    </row>
    <row r="218" spans="1:13">
      <c r="A218" s="35">
        <v>216</v>
      </c>
      <c r="B218" s="63" t="s">
        <v>40</v>
      </c>
      <c r="C218" s="35">
        <v>9</v>
      </c>
      <c r="D218" s="63" t="s">
        <v>31</v>
      </c>
      <c r="E218" s="63" t="s">
        <v>32</v>
      </c>
      <c r="F218" s="63" t="s">
        <v>21</v>
      </c>
      <c r="G218" s="35">
        <v>1605</v>
      </c>
      <c r="H218" s="36">
        <v>35</v>
      </c>
      <c r="I218" s="64">
        <v>56175</v>
      </c>
      <c r="J218" s="65">
        <v>0</v>
      </c>
      <c r="K218" s="64">
        <v>56175</v>
      </c>
      <c r="L218" s="35" t="s">
        <v>18</v>
      </c>
      <c r="M218" s="35">
        <v>3.6</v>
      </c>
    </row>
    <row r="219" spans="1:13">
      <c r="A219" s="40">
        <v>217</v>
      </c>
      <c r="B219" s="60" t="s">
        <v>41</v>
      </c>
      <c r="C219" s="40">
        <v>10</v>
      </c>
      <c r="D219" s="60" t="s">
        <v>15</v>
      </c>
      <c r="E219" s="60" t="s">
        <v>16</v>
      </c>
      <c r="F219" s="60" t="s">
        <v>17</v>
      </c>
      <c r="G219" s="40">
        <v>1876</v>
      </c>
      <c r="H219" s="41">
        <v>45</v>
      </c>
      <c r="I219" s="61">
        <v>84420</v>
      </c>
      <c r="J219" s="62">
        <v>0</v>
      </c>
      <c r="K219" s="61">
        <v>84420</v>
      </c>
      <c r="L219" s="40" t="s">
        <v>18</v>
      </c>
      <c r="M219" s="40">
        <v>4.7</v>
      </c>
    </row>
    <row r="220" spans="1:13">
      <c r="A220" s="35">
        <v>218</v>
      </c>
      <c r="B220" s="63" t="s">
        <v>41</v>
      </c>
      <c r="C220" s="35">
        <v>10</v>
      </c>
      <c r="D220" s="63" t="s">
        <v>15</v>
      </c>
      <c r="E220" s="63" t="s">
        <v>16</v>
      </c>
      <c r="F220" s="63" t="s">
        <v>19</v>
      </c>
      <c r="G220" s="35">
        <v>2141</v>
      </c>
      <c r="H220" s="36">
        <v>45</v>
      </c>
      <c r="I220" s="64">
        <v>96345</v>
      </c>
      <c r="J220" s="65">
        <v>10</v>
      </c>
      <c r="K220" s="64">
        <v>86710</v>
      </c>
      <c r="L220" s="35" t="s">
        <v>22</v>
      </c>
      <c r="M220" s="35">
        <v>4.6</v>
      </c>
    </row>
    <row r="221" spans="1:13">
      <c r="A221" s="40">
        <v>219</v>
      </c>
      <c r="B221" s="60" t="s">
        <v>41</v>
      </c>
      <c r="C221" s="40">
        <v>10</v>
      </c>
      <c r="D221" s="60" t="s">
        <v>15</v>
      </c>
      <c r="E221" s="60" t="s">
        <v>16</v>
      </c>
      <c r="F221" s="60" t="s">
        <v>20</v>
      </c>
      <c r="G221" s="40">
        <v>1645</v>
      </c>
      <c r="H221" s="41">
        <v>45</v>
      </c>
      <c r="I221" s="61">
        <v>74025</v>
      </c>
      <c r="J221" s="62">
        <v>0</v>
      </c>
      <c r="K221" s="61">
        <v>74025</v>
      </c>
      <c r="L221" s="40" t="s">
        <v>18</v>
      </c>
      <c r="M221" s="40">
        <v>4.8</v>
      </c>
    </row>
    <row r="222" spans="1:13">
      <c r="A222" s="35">
        <v>220</v>
      </c>
      <c r="B222" s="63" t="s">
        <v>41</v>
      </c>
      <c r="C222" s="35">
        <v>10</v>
      </c>
      <c r="D222" s="63" t="s">
        <v>15</v>
      </c>
      <c r="E222" s="63" t="s">
        <v>16</v>
      </c>
      <c r="F222" s="63" t="s">
        <v>21</v>
      </c>
      <c r="G222" s="35">
        <v>1910</v>
      </c>
      <c r="H222" s="36">
        <v>45</v>
      </c>
      <c r="I222" s="64">
        <v>85950</v>
      </c>
      <c r="J222" s="65">
        <v>0</v>
      </c>
      <c r="K222" s="64">
        <v>85950</v>
      </c>
      <c r="L222" s="35" t="s">
        <v>18</v>
      </c>
      <c r="M222" s="35">
        <v>4.4</v>
      </c>
    </row>
    <row r="223" spans="1:13">
      <c r="A223" s="40">
        <v>221</v>
      </c>
      <c r="B223" s="60" t="s">
        <v>41</v>
      </c>
      <c r="C223" s="40">
        <v>10</v>
      </c>
      <c r="D223" s="60" t="s">
        <v>23</v>
      </c>
      <c r="E223" s="60" t="s">
        <v>24</v>
      </c>
      <c r="F223" s="60" t="s">
        <v>17</v>
      </c>
      <c r="G223" s="40">
        <v>1067</v>
      </c>
      <c r="H223" s="41">
        <v>125</v>
      </c>
      <c r="I223" s="61">
        <v>133375</v>
      </c>
      <c r="J223" s="62">
        <v>0</v>
      </c>
      <c r="K223" s="61">
        <v>133375</v>
      </c>
      <c r="L223" s="40" t="s">
        <v>18</v>
      </c>
      <c r="M223" s="40">
        <v>3.7</v>
      </c>
    </row>
    <row r="224" spans="1:13">
      <c r="A224" s="35">
        <v>222</v>
      </c>
      <c r="B224" s="63" t="s">
        <v>41</v>
      </c>
      <c r="C224" s="35">
        <v>10</v>
      </c>
      <c r="D224" s="63" t="s">
        <v>23</v>
      </c>
      <c r="E224" s="63" t="s">
        <v>24</v>
      </c>
      <c r="F224" s="63" t="s">
        <v>19</v>
      </c>
      <c r="G224" s="35">
        <v>994</v>
      </c>
      <c r="H224" s="36">
        <v>125</v>
      </c>
      <c r="I224" s="64">
        <v>124250</v>
      </c>
      <c r="J224" s="65">
        <v>15</v>
      </c>
      <c r="K224" s="64">
        <v>105612</v>
      </c>
      <c r="L224" s="35" t="s">
        <v>22</v>
      </c>
      <c r="M224" s="35">
        <v>4.7</v>
      </c>
    </row>
    <row r="225" spans="1:13">
      <c r="A225" s="40">
        <v>223</v>
      </c>
      <c r="B225" s="60" t="s">
        <v>41</v>
      </c>
      <c r="C225" s="40">
        <v>10</v>
      </c>
      <c r="D225" s="60" t="s">
        <v>23</v>
      </c>
      <c r="E225" s="60" t="s">
        <v>24</v>
      </c>
      <c r="F225" s="60" t="s">
        <v>20</v>
      </c>
      <c r="G225" s="40">
        <v>780</v>
      </c>
      <c r="H225" s="41">
        <v>125</v>
      </c>
      <c r="I225" s="61">
        <v>97500</v>
      </c>
      <c r="J225" s="62">
        <v>0</v>
      </c>
      <c r="K225" s="61">
        <v>97500</v>
      </c>
      <c r="L225" s="40" t="s">
        <v>18</v>
      </c>
      <c r="M225" s="40">
        <v>4.2</v>
      </c>
    </row>
    <row r="226" spans="1:13">
      <c r="A226" s="35">
        <v>224</v>
      </c>
      <c r="B226" s="63" t="s">
        <v>41</v>
      </c>
      <c r="C226" s="35">
        <v>10</v>
      </c>
      <c r="D226" s="63" t="s">
        <v>23</v>
      </c>
      <c r="E226" s="63" t="s">
        <v>24</v>
      </c>
      <c r="F226" s="63" t="s">
        <v>21</v>
      </c>
      <c r="G226" s="35">
        <v>922</v>
      </c>
      <c r="H226" s="36">
        <v>125</v>
      </c>
      <c r="I226" s="64">
        <v>115250</v>
      </c>
      <c r="J226" s="65">
        <v>0</v>
      </c>
      <c r="K226" s="64">
        <v>115250</v>
      </c>
      <c r="L226" s="35" t="s">
        <v>18</v>
      </c>
      <c r="M226" s="35">
        <v>4</v>
      </c>
    </row>
    <row r="227" spans="1:13">
      <c r="A227" s="40">
        <v>225</v>
      </c>
      <c r="B227" s="60" t="s">
        <v>41</v>
      </c>
      <c r="C227" s="40">
        <v>10</v>
      </c>
      <c r="D227" s="60" t="s">
        <v>25</v>
      </c>
      <c r="E227" s="60" t="s">
        <v>26</v>
      </c>
      <c r="F227" s="60" t="s">
        <v>17</v>
      </c>
      <c r="G227" s="40">
        <v>1191</v>
      </c>
      <c r="H227" s="41">
        <v>80</v>
      </c>
      <c r="I227" s="61">
        <v>95280</v>
      </c>
      <c r="J227" s="62">
        <v>0</v>
      </c>
      <c r="K227" s="61">
        <v>95280</v>
      </c>
      <c r="L227" s="40" t="s">
        <v>18</v>
      </c>
      <c r="M227" s="40">
        <v>4.4</v>
      </c>
    </row>
    <row r="228" spans="1:13">
      <c r="A228" s="35">
        <v>226</v>
      </c>
      <c r="B228" s="63" t="s">
        <v>41</v>
      </c>
      <c r="C228" s="35">
        <v>10</v>
      </c>
      <c r="D228" s="63" t="s">
        <v>25</v>
      </c>
      <c r="E228" s="63" t="s">
        <v>26</v>
      </c>
      <c r="F228" s="63" t="s">
        <v>19</v>
      </c>
      <c r="G228" s="35">
        <v>1254</v>
      </c>
      <c r="H228" s="36">
        <v>80</v>
      </c>
      <c r="I228" s="64">
        <v>100320</v>
      </c>
      <c r="J228" s="65">
        <v>0</v>
      </c>
      <c r="K228" s="64">
        <v>100320</v>
      </c>
      <c r="L228" s="35" t="s">
        <v>18</v>
      </c>
      <c r="M228" s="35">
        <v>4.4</v>
      </c>
    </row>
    <row r="229" spans="1:13">
      <c r="A229" s="40">
        <v>227</v>
      </c>
      <c r="B229" s="60" t="s">
        <v>41</v>
      </c>
      <c r="C229" s="40">
        <v>10</v>
      </c>
      <c r="D229" s="60" t="s">
        <v>25</v>
      </c>
      <c r="E229" s="60" t="s">
        <v>26</v>
      </c>
      <c r="F229" s="60" t="s">
        <v>20</v>
      </c>
      <c r="G229" s="40">
        <v>1075</v>
      </c>
      <c r="H229" s="41">
        <v>80</v>
      </c>
      <c r="I229" s="61">
        <v>86000</v>
      </c>
      <c r="J229" s="62">
        <v>10</v>
      </c>
      <c r="K229" s="61">
        <v>77400</v>
      </c>
      <c r="L229" s="40" t="s">
        <v>22</v>
      </c>
      <c r="M229" s="40">
        <v>4.7</v>
      </c>
    </row>
    <row r="230" spans="1:13">
      <c r="A230" s="35">
        <v>228</v>
      </c>
      <c r="B230" s="63" t="s">
        <v>41</v>
      </c>
      <c r="C230" s="35">
        <v>10</v>
      </c>
      <c r="D230" s="63" t="s">
        <v>25</v>
      </c>
      <c r="E230" s="63" t="s">
        <v>26</v>
      </c>
      <c r="F230" s="63" t="s">
        <v>21</v>
      </c>
      <c r="G230" s="35">
        <v>1279</v>
      </c>
      <c r="H230" s="36">
        <v>80</v>
      </c>
      <c r="I230" s="64">
        <v>102320</v>
      </c>
      <c r="J230" s="65">
        <v>0</v>
      </c>
      <c r="K230" s="64">
        <v>102320</v>
      </c>
      <c r="L230" s="35" t="s">
        <v>18</v>
      </c>
      <c r="M230" s="35">
        <v>4.9</v>
      </c>
    </row>
    <row r="231" spans="1:13">
      <c r="A231" s="40">
        <v>229</v>
      </c>
      <c r="B231" s="60" t="s">
        <v>41</v>
      </c>
      <c r="C231" s="40">
        <v>10</v>
      </c>
      <c r="D231" s="60" t="s">
        <v>27</v>
      </c>
      <c r="E231" s="60" t="s">
        <v>28</v>
      </c>
      <c r="F231" s="60" t="s">
        <v>17</v>
      </c>
      <c r="G231" s="40">
        <v>2286</v>
      </c>
      <c r="H231" s="41">
        <v>25</v>
      </c>
      <c r="I231" s="61">
        <v>57150</v>
      </c>
      <c r="J231" s="62">
        <v>0</v>
      </c>
      <c r="K231" s="61">
        <v>57150</v>
      </c>
      <c r="L231" s="40" t="s">
        <v>18</v>
      </c>
      <c r="M231" s="40">
        <v>3.7</v>
      </c>
    </row>
    <row r="232" spans="1:13">
      <c r="A232" s="35">
        <v>230</v>
      </c>
      <c r="B232" s="63" t="s">
        <v>41</v>
      </c>
      <c r="C232" s="35">
        <v>10</v>
      </c>
      <c r="D232" s="63" t="s">
        <v>27</v>
      </c>
      <c r="E232" s="63" t="s">
        <v>28</v>
      </c>
      <c r="F232" s="63" t="s">
        <v>19</v>
      </c>
      <c r="G232" s="35">
        <v>2359</v>
      </c>
      <c r="H232" s="36">
        <v>25</v>
      </c>
      <c r="I232" s="64">
        <v>58975</v>
      </c>
      <c r="J232" s="65">
        <v>0</v>
      </c>
      <c r="K232" s="64">
        <v>58975</v>
      </c>
      <c r="L232" s="35" t="s">
        <v>18</v>
      </c>
      <c r="M232" s="35">
        <v>4.4</v>
      </c>
    </row>
    <row r="233" spans="1:13">
      <c r="A233" s="40">
        <v>231</v>
      </c>
      <c r="B233" s="60" t="s">
        <v>41</v>
      </c>
      <c r="C233" s="40">
        <v>10</v>
      </c>
      <c r="D233" s="60" t="s">
        <v>27</v>
      </c>
      <c r="E233" s="60" t="s">
        <v>28</v>
      </c>
      <c r="F233" s="60" t="s">
        <v>20</v>
      </c>
      <c r="G233" s="40">
        <v>1788</v>
      </c>
      <c r="H233" s="41">
        <v>25</v>
      </c>
      <c r="I233" s="61">
        <v>44700</v>
      </c>
      <c r="J233" s="62">
        <v>0</v>
      </c>
      <c r="K233" s="61">
        <v>44700</v>
      </c>
      <c r="L233" s="40" t="s">
        <v>18</v>
      </c>
      <c r="M233" s="40">
        <v>4.4</v>
      </c>
    </row>
    <row r="234" spans="1:13">
      <c r="A234" s="35">
        <v>232</v>
      </c>
      <c r="B234" s="63" t="s">
        <v>41</v>
      </c>
      <c r="C234" s="35">
        <v>10</v>
      </c>
      <c r="D234" s="63" t="s">
        <v>27</v>
      </c>
      <c r="E234" s="63" t="s">
        <v>28</v>
      </c>
      <c r="F234" s="63" t="s">
        <v>21</v>
      </c>
      <c r="G234" s="35">
        <v>2305</v>
      </c>
      <c r="H234" s="36">
        <v>25</v>
      </c>
      <c r="I234" s="64">
        <v>57625</v>
      </c>
      <c r="J234" s="65">
        <v>0</v>
      </c>
      <c r="K234" s="64">
        <v>57625</v>
      </c>
      <c r="L234" s="35" t="s">
        <v>18</v>
      </c>
      <c r="M234" s="35">
        <v>3.7</v>
      </c>
    </row>
    <row r="235" spans="1:13">
      <c r="A235" s="40">
        <v>233</v>
      </c>
      <c r="B235" s="60" t="s">
        <v>41</v>
      </c>
      <c r="C235" s="40">
        <v>10</v>
      </c>
      <c r="D235" s="60" t="s">
        <v>29</v>
      </c>
      <c r="E235" s="60" t="s">
        <v>30</v>
      </c>
      <c r="F235" s="60" t="s">
        <v>17</v>
      </c>
      <c r="G235" s="40">
        <v>739</v>
      </c>
      <c r="H235" s="41">
        <v>90</v>
      </c>
      <c r="I235" s="61">
        <v>66510</v>
      </c>
      <c r="J235" s="62">
        <v>0</v>
      </c>
      <c r="K235" s="61">
        <v>66510</v>
      </c>
      <c r="L235" s="40" t="s">
        <v>18</v>
      </c>
      <c r="M235" s="40">
        <v>4.5</v>
      </c>
    </row>
    <row r="236" spans="1:13">
      <c r="A236" s="35">
        <v>234</v>
      </c>
      <c r="B236" s="63" t="s">
        <v>41</v>
      </c>
      <c r="C236" s="35">
        <v>10</v>
      </c>
      <c r="D236" s="63" t="s">
        <v>29</v>
      </c>
      <c r="E236" s="63" t="s">
        <v>30</v>
      </c>
      <c r="F236" s="63" t="s">
        <v>19</v>
      </c>
      <c r="G236" s="35">
        <v>725</v>
      </c>
      <c r="H236" s="36">
        <v>90</v>
      </c>
      <c r="I236" s="64">
        <v>65250</v>
      </c>
      <c r="J236" s="65">
        <v>0</v>
      </c>
      <c r="K236" s="64">
        <v>65250</v>
      </c>
      <c r="L236" s="35" t="s">
        <v>18</v>
      </c>
      <c r="M236" s="35">
        <v>4.5</v>
      </c>
    </row>
    <row r="237" spans="1:13">
      <c r="A237" s="40">
        <v>235</v>
      </c>
      <c r="B237" s="60" t="s">
        <v>41</v>
      </c>
      <c r="C237" s="40">
        <v>10</v>
      </c>
      <c r="D237" s="60" t="s">
        <v>29</v>
      </c>
      <c r="E237" s="60" t="s">
        <v>30</v>
      </c>
      <c r="F237" s="60" t="s">
        <v>20</v>
      </c>
      <c r="G237" s="40">
        <v>681</v>
      </c>
      <c r="H237" s="41">
        <v>90</v>
      </c>
      <c r="I237" s="61">
        <v>61290</v>
      </c>
      <c r="J237" s="62">
        <v>0</v>
      </c>
      <c r="K237" s="61">
        <v>61290</v>
      </c>
      <c r="L237" s="40" t="s">
        <v>18</v>
      </c>
      <c r="M237" s="40">
        <v>4.7</v>
      </c>
    </row>
    <row r="238" spans="1:13">
      <c r="A238" s="35">
        <v>236</v>
      </c>
      <c r="B238" s="63" t="s">
        <v>41</v>
      </c>
      <c r="C238" s="35">
        <v>10</v>
      </c>
      <c r="D238" s="63" t="s">
        <v>29</v>
      </c>
      <c r="E238" s="63" t="s">
        <v>30</v>
      </c>
      <c r="F238" s="63" t="s">
        <v>21</v>
      </c>
      <c r="G238" s="35">
        <v>727</v>
      </c>
      <c r="H238" s="36">
        <v>90</v>
      </c>
      <c r="I238" s="64">
        <v>65430</v>
      </c>
      <c r="J238" s="65">
        <v>0</v>
      </c>
      <c r="K238" s="64">
        <v>65430</v>
      </c>
      <c r="L238" s="35" t="s">
        <v>18</v>
      </c>
      <c r="M238" s="35">
        <v>4</v>
      </c>
    </row>
    <row r="239" spans="1:13">
      <c r="A239" s="40">
        <v>237</v>
      </c>
      <c r="B239" s="60" t="s">
        <v>41</v>
      </c>
      <c r="C239" s="40">
        <v>10</v>
      </c>
      <c r="D239" s="60" t="s">
        <v>31</v>
      </c>
      <c r="E239" s="60" t="s">
        <v>32</v>
      </c>
      <c r="F239" s="60" t="s">
        <v>17</v>
      </c>
      <c r="G239" s="40">
        <v>1713</v>
      </c>
      <c r="H239" s="41">
        <v>35</v>
      </c>
      <c r="I239" s="61">
        <v>59955</v>
      </c>
      <c r="J239" s="62">
        <v>0</v>
      </c>
      <c r="K239" s="61">
        <v>59955</v>
      </c>
      <c r="L239" s="40" t="s">
        <v>18</v>
      </c>
      <c r="M239" s="40">
        <v>4.1</v>
      </c>
    </row>
    <row r="240" spans="1:13">
      <c r="A240" s="35">
        <v>238</v>
      </c>
      <c r="B240" s="63" t="s">
        <v>41</v>
      </c>
      <c r="C240" s="35">
        <v>10</v>
      </c>
      <c r="D240" s="63" t="s">
        <v>31</v>
      </c>
      <c r="E240" s="63" t="s">
        <v>32</v>
      </c>
      <c r="F240" s="63" t="s">
        <v>19</v>
      </c>
      <c r="G240" s="35">
        <v>1689</v>
      </c>
      <c r="H240" s="36">
        <v>35</v>
      </c>
      <c r="I240" s="64">
        <v>59115</v>
      </c>
      <c r="J240" s="65">
        <v>0</v>
      </c>
      <c r="K240" s="64">
        <v>59115</v>
      </c>
      <c r="L240" s="35" t="s">
        <v>18</v>
      </c>
      <c r="M240" s="35">
        <v>4.5</v>
      </c>
    </row>
    <row r="241" spans="1:13">
      <c r="A241" s="40">
        <v>239</v>
      </c>
      <c r="B241" s="60" t="s">
        <v>41</v>
      </c>
      <c r="C241" s="40">
        <v>10</v>
      </c>
      <c r="D241" s="60" t="s">
        <v>31</v>
      </c>
      <c r="E241" s="60" t="s">
        <v>32</v>
      </c>
      <c r="F241" s="60" t="s">
        <v>20</v>
      </c>
      <c r="G241" s="40">
        <v>1206</v>
      </c>
      <c r="H241" s="41">
        <v>35</v>
      </c>
      <c r="I241" s="61">
        <v>42210</v>
      </c>
      <c r="J241" s="62">
        <v>0</v>
      </c>
      <c r="K241" s="61">
        <v>42210</v>
      </c>
      <c r="L241" s="40" t="s">
        <v>18</v>
      </c>
      <c r="M241" s="40">
        <v>3.8</v>
      </c>
    </row>
    <row r="242" spans="1:13">
      <c r="A242" s="35">
        <v>240</v>
      </c>
      <c r="B242" s="63" t="s">
        <v>41</v>
      </c>
      <c r="C242" s="35">
        <v>10</v>
      </c>
      <c r="D242" s="63" t="s">
        <v>31</v>
      </c>
      <c r="E242" s="63" t="s">
        <v>32</v>
      </c>
      <c r="F242" s="63" t="s">
        <v>21</v>
      </c>
      <c r="G242" s="35">
        <v>1560</v>
      </c>
      <c r="H242" s="36">
        <v>35</v>
      </c>
      <c r="I242" s="64">
        <v>54600</v>
      </c>
      <c r="J242" s="65">
        <v>0</v>
      </c>
      <c r="K242" s="64">
        <v>54600</v>
      </c>
      <c r="L242" s="35" t="s">
        <v>18</v>
      </c>
      <c r="M242" s="35">
        <v>4.4</v>
      </c>
    </row>
    <row r="243" spans="1:13">
      <c r="A243" s="40">
        <v>241</v>
      </c>
      <c r="B243" s="60" t="s">
        <v>42</v>
      </c>
      <c r="C243" s="40">
        <v>11</v>
      </c>
      <c r="D243" s="60" t="s">
        <v>15</v>
      </c>
      <c r="E243" s="60" t="s">
        <v>16</v>
      </c>
      <c r="F243" s="60" t="s">
        <v>17</v>
      </c>
      <c r="G243" s="40">
        <v>1655</v>
      </c>
      <c r="H243" s="41">
        <v>45</v>
      </c>
      <c r="I243" s="61">
        <v>74475</v>
      </c>
      <c r="J243" s="62">
        <v>0</v>
      </c>
      <c r="K243" s="61">
        <v>74475</v>
      </c>
      <c r="L243" s="40" t="s">
        <v>18</v>
      </c>
      <c r="M243" s="40">
        <v>4.3</v>
      </c>
    </row>
    <row r="244" spans="1:13">
      <c r="A244" s="35">
        <v>242</v>
      </c>
      <c r="B244" s="63" t="s">
        <v>42</v>
      </c>
      <c r="C244" s="35">
        <v>11</v>
      </c>
      <c r="D244" s="63" t="s">
        <v>15</v>
      </c>
      <c r="E244" s="63" t="s">
        <v>16</v>
      </c>
      <c r="F244" s="63" t="s">
        <v>19</v>
      </c>
      <c r="G244" s="35">
        <v>1723</v>
      </c>
      <c r="H244" s="36">
        <v>45</v>
      </c>
      <c r="I244" s="64">
        <v>77535</v>
      </c>
      <c r="J244" s="65">
        <v>0</v>
      </c>
      <c r="K244" s="64">
        <v>77535</v>
      </c>
      <c r="L244" s="35" t="s">
        <v>18</v>
      </c>
      <c r="M244" s="35">
        <v>4.5</v>
      </c>
    </row>
    <row r="245" spans="1:13">
      <c r="A245" s="40">
        <v>243</v>
      </c>
      <c r="B245" s="60" t="s">
        <v>42</v>
      </c>
      <c r="C245" s="40">
        <v>11</v>
      </c>
      <c r="D245" s="60" t="s">
        <v>15</v>
      </c>
      <c r="E245" s="60" t="s">
        <v>16</v>
      </c>
      <c r="F245" s="60" t="s">
        <v>20</v>
      </c>
      <c r="G245" s="40">
        <v>1497</v>
      </c>
      <c r="H245" s="41">
        <v>45</v>
      </c>
      <c r="I245" s="61">
        <v>67365</v>
      </c>
      <c r="J245" s="62">
        <v>10</v>
      </c>
      <c r="K245" s="61">
        <v>60628</v>
      </c>
      <c r="L245" s="40" t="s">
        <v>22</v>
      </c>
      <c r="M245" s="40">
        <v>4</v>
      </c>
    </row>
    <row r="246" spans="1:13">
      <c r="A246" s="35">
        <v>244</v>
      </c>
      <c r="B246" s="63" t="s">
        <v>42</v>
      </c>
      <c r="C246" s="35">
        <v>11</v>
      </c>
      <c r="D246" s="63" t="s">
        <v>15</v>
      </c>
      <c r="E246" s="63" t="s">
        <v>16</v>
      </c>
      <c r="F246" s="63" t="s">
        <v>21</v>
      </c>
      <c r="G246" s="35">
        <v>1534</v>
      </c>
      <c r="H246" s="36">
        <v>45</v>
      </c>
      <c r="I246" s="64">
        <v>69030</v>
      </c>
      <c r="J246" s="65">
        <v>20</v>
      </c>
      <c r="K246" s="64">
        <v>55224</v>
      </c>
      <c r="L246" s="35" t="s">
        <v>22</v>
      </c>
      <c r="M246" s="35">
        <v>4.9</v>
      </c>
    </row>
    <row r="247" spans="1:13">
      <c r="A247" s="40">
        <v>245</v>
      </c>
      <c r="B247" s="60" t="s">
        <v>42</v>
      </c>
      <c r="C247" s="40">
        <v>11</v>
      </c>
      <c r="D247" s="60" t="s">
        <v>23</v>
      </c>
      <c r="E247" s="60" t="s">
        <v>24</v>
      </c>
      <c r="F247" s="60" t="s">
        <v>17</v>
      </c>
      <c r="G247" s="40">
        <v>882</v>
      </c>
      <c r="H247" s="41">
        <v>125</v>
      </c>
      <c r="I247" s="61">
        <v>110250</v>
      </c>
      <c r="J247" s="62">
        <v>0</v>
      </c>
      <c r="K247" s="61">
        <v>110250</v>
      </c>
      <c r="L247" s="40" t="s">
        <v>18</v>
      </c>
      <c r="M247" s="40">
        <v>3.8</v>
      </c>
    </row>
    <row r="248" spans="1:13">
      <c r="A248" s="35">
        <v>246</v>
      </c>
      <c r="B248" s="63" t="s">
        <v>42</v>
      </c>
      <c r="C248" s="35">
        <v>11</v>
      </c>
      <c r="D248" s="63" t="s">
        <v>23</v>
      </c>
      <c r="E248" s="63" t="s">
        <v>24</v>
      </c>
      <c r="F248" s="63" t="s">
        <v>19</v>
      </c>
      <c r="G248" s="35">
        <v>874</v>
      </c>
      <c r="H248" s="36">
        <v>125</v>
      </c>
      <c r="I248" s="64">
        <v>109250</v>
      </c>
      <c r="J248" s="65">
        <v>0</v>
      </c>
      <c r="K248" s="64">
        <v>109250</v>
      </c>
      <c r="L248" s="35" t="s">
        <v>18</v>
      </c>
      <c r="M248" s="35">
        <v>4.5</v>
      </c>
    </row>
    <row r="249" spans="1:13">
      <c r="A249" s="40">
        <v>247</v>
      </c>
      <c r="B249" s="60" t="s">
        <v>42</v>
      </c>
      <c r="C249" s="40">
        <v>11</v>
      </c>
      <c r="D249" s="60" t="s">
        <v>23</v>
      </c>
      <c r="E249" s="60" t="s">
        <v>24</v>
      </c>
      <c r="F249" s="60" t="s">
        <v>20</v>
      </c>
      <c r="G249" s="40">
        <v>674</v>
      </c>
      <c r="H249" s="41">
        <v>125</v>
      </c>
      <c r="I249" s="61">
        <v>84250</v>
      </c>
      <c r="J249" s="62">
        <v>0</v>
      </c>
      <c r="K249" s="61">
        <v>84250</v>
      </c>
      <c r="L249" s="40" t="s">
        <v>18</v>
      </c>
      <c r="M249" s="40">
        <v>4.7</v>
      </c>
    </row>
    <row r="250" spans="1:13">
      <c r="A250" s="35">
        <v>248</v>
      </c>
      <c r="B250" s="63" t="s">
        <v>42</v>
      </c>
      <c r="C250" s="35">
        <v>11</v>
      </c>
      <c r="D250" s="63" t="s">
        <v>23</v>
      </c>
      <c r="E250" s="63" t="s">
        <v>24</v>
      </c>
      <c r="F250" s="63" t="s">
        <v>21</v>
      </c>
      <c r="G250" s="35">
        <v>798</v>
      </c>
      <c r="H250" s="36">
        <v>125</v>
      </c>
      <c r="I250" s="64">
        <v>99750</v>
      </c>
      <c r="J250" s="65">
        <v>0</v>
      </c>
      <c r="K250" s="64">
        <v>99750</v>
      </c>
      <c r="L250" s="35" t="s">
        <v>18</v>
      </c>
      <c r="M250" s="35">
        <v>4.3</v>
      </c>
    </row>
    <row r="251" spans="1:13">
      <c r="A251" s="40">
        <v>249</v>
      </c>
      <c r="B251" s="60" t="s">
        <v>42</v>
      </c>
      <c r="C251" s="40">
        <v>11</v>
      </c>
      <c r="D251" s="60" t="s">
        <v>25</v>
      </c>
      <c r="E251" s="60" t="s">
        <v>26</v>
      </c>
      <c r="F251" s="60" t="s">
        <v>17</v>
      </c>
      <c r="G251" s="40">
        <v>1199</v>
      </c>
      <c r="H251" s="41">
        <v>80</v>
      </c>
      <c r="I251" s="61">
        <v>95920</v>
      </c>
      <c r="J251" s="62">
        <v>0</v>
      </c>
      <c r="K251" s="61">
        <v>95920</v>
      </c>
      <c r="L251" s="40" t="s">
        <v>18</v>
      </c>
      <c r="M251" s="40">
        <v>4.3</v>
      </c>
    </row>
    <row r="252" spans="1:13">
      <c r="A252" s="35">
        <v>250</v>
      </c>
      <c r="B252" s="63" t="s">
        <v>42</v>
      </c>
      <c r="C252" s="35">
        <v>11</v>
      </c>
      <c r="D252" s="63" t="s">
        <v>25</v>
      </c>
      <c r="E252" s="63" t="s">
        <v>26</v>
      </c>
      <c r="F252" s="63" t="s">
        <v>19</v>
      </c>
      <c r="G252" s="35">
        <v>1162</v>
      </c>
      <c r="H252" s="36">
        <v>80</v>
      </c>
      <c r="I252" s="64">
        <v>92960</v>
      </c>
      <c r="J252" s="65">
        <v>0</v>
      </c>
      <c r="K252" s="64">
        <v>92960</v>
      </c>
      <c r="L252" s="35" t="s">
        <v>18</v>
      </c>
      <c r="M252" s="35">
        <v>4</v>
      </c>
    </row>
    <row r="253" spans="1:13">
      <c r="A253" s="40">
        <v>251</v>
      </c>
      <c r="B253" s="60" t="s">
        <v>42</v>
      </c>
      <c r="C253" s="40">
        <v>11</v>
      </c>
      <c r="D253" s="60" t="s">
        <v>25</v>
      </c>
      <c r="E253" s="60" t="s">
        <v>26</v>
      </c>
      <c r="F253" s="60" t="s">
        <v>20</v>
      </c>
      <c r="G253" s="40">
        <v>853</v>
      </c>
      <c r="H253" s="41">
        <v>80</v>
      </c>
      <c r="I253" s="61">
        <v>68240</v>
      </c>
      <c r="J253" s="62">
        <v>0</v>
      </c>
      <c r="K253" s="61">
        <v>68240</v>
      </c>
      <c r="L253" s="40" t="s">
        <v>18</v>
      </c>
      <c r="M253" s="40">
        <v>4.8</v>
      </c>
    </row>
    <row r="254" spans="1:13">
      <c r="A254" s="35">
        <v>252</v>
      </c>
      <c r="B254" s="63" t="s">
        <v>42</v>
      </c>
      <c r="C254" s="35">
        <v>11</v>
      </c>
      <c r="D254" s="63" t="s">
        <v>25</v>
      </c>
      <c r="E254" s="63" t="s">
        <v>26</v>
      </c>
      <c r="F254" s="63" t="s">
        <v>21</v>
      </c>
      <c r="G254" s="35">
        <v>1119</v>
      </c>
      <c r="H254" s="36">
        <v>80</v>
      </c>
      <c r="I254" s="64">
        <v>89520</v>
      </c>
      <c r="J254" s="65">
        <v>0</v>
      </c>
      <c r="K254" s="64">
        <v>89520</v>
      </c>
      <c r="L254" s="35" t="s">
        <v>18</v>
      </c>
      <c r="M254" s="35">
        <v>4</v>
      </c>
    </row>
    <row r="255" spans="1:13">
      <c r="A255" s="40">
        <v>253</v>
      </c>
      <c r="B255" s="60" t="s">
        <v>42</v>
      </c>
      <c r="C255" s="40">
        <v>11</v>
      </c>
      <c r="D255" s="60" t="s">
        <v>27</v>
      </c>
      <c r="E255" s="60" t="s">
        <v>28</v>
      </c>
      <c r="F255" s="60" t="s">
        <v>17</v>
      </c>
      <c r="G255" s="40">
        <v>2223</v>
      </c>
      <c r="H255" s="41">
        <v>25</v>
      </c>
      <c r="I255" s="61">
        <v>55575</v>
      </c>
      <c r="J255" s="62">
        <v>0</v>
      </c>
      <c r="K255" s="61">
        <v>55575</v>
      </c>
      <c r="L255" s="40" t="s">
        <v>18</v>
      </c>
      <c r="M255" s="40">
        <v>4.9</v>
      </c>
    </row>
    <row r="256" spans="1:13">
      <c r="A256" s="35">
        <v>254</v>
      </c>
      <c r="B256" s="63" t="s">
        <v>42</v>
      </c>
      <c r="C256" s="35">
        <v>11</v>
      </c>
      <c r="D256" s="63" t="s">
        <v>27</v>
      </c>
      <c r="E256" s="63" t="s">
        <v>28</v>
      </c>
      <c r="F256" s="63" t="s">
        <v>19</v>
      </c>
      <c r="G256" s="35">
        <v>1958</v>
      </c>
      <c r="H256" s="36">
        <v>25</v>
      </c>
      <c r="I256" s="64">
        <v>48950</v>
      </c>
      <c r="J256" s="65">
        <v>0</v>
      </c>
      <c r="K256" s="64">
        <v>48950</v>
      </c>
      <c r="L256" s="35" t="s">
        <v>18</v>
      </c>
      <c r="M256" s="35">
        <v>4.3</v>
      </c>
    </row>
    <row r="257" spans="1:13">
      <c r="A257" s="40">
        <v>255</v>
      </c>
      <c r="B257" s="60" t="s">
        <v>42</v>
      </c>
      <c r="C257" s="40">
        <v>11</v>
      </c>
      <c r="D257" s="60" t="s">
        <v>27</v>
      </c>
      <c r="E257" s="60" t="s">
        <v>28</v>
      </c>
      <c r="F257" s="60" t="s">
        <v>20</v>
      </c>
      <c r="G257" s="40">
        <v>1764</v>
      </c>
      <c r="H257" s="41">
        <v>25</v>
      </c>
      <c r="I257" s="61">
        <v>44100</v>
      </c>
      <c r="J257" s="62">
        <v>0</v>
      </c>
      <c r="K257" s="61">
        <v>44100</v>
      </c>
      <c r="L257" s="40" t="s">
        <v>18</v>
      </c>
      <c r="M257" s="40">
        <v>4.3</v>
      </c>
    </row>
    <row r="258" spans="1:13">
      <c r="A258" s="35">
        <v>256</v>
      </c>
      <c r="B258" s="63" t="s">
        <v>42</v>
      </c>
      <c r="C258" s="35">
        <v>11</v>
      </c>
      <c r="D258" s="63" t="s">
        <v>27</v>
      </c>
      <c r="E258" s="63" t="s">
        <v>28</v>
      </c>
      <c r="F258" s="63" t="s">
        <v>21</v>
      </c>
      <c r="G258" s="35">
        <v>1990</v>
      </c>
      <c r="H258" s="36">
        <v>25</v>
      </c>
      <c r="I258" s="64">
        <v>49750</v>
      </c>
      <c r="J258" s="65">
        <v>0</v>
      </c>
      <c r="K258" s="64">
        <v>49750</v>
      </c>
      <c r="L258" s="35" t="s">
        <v>18</v>
      </c>
      <c r="M258" s="35">
        <v>3.8</v>
      </c>
    </row>
    <row r="259" spans="1:13">
      <c r="A259" s="40">
        <v>257</v>
      </c>
      <c r="B259" s="60" t="s">
        <v>42</v>
      </c>
      <c r="C259" s="40">
        <v>11</v>
      </c>
      <c r="D259" s="60" t="s">
        <v>29</v>
      </c>
      <c r="E259" s="60" t="s">
        <v>30</v>
      </c>
      <c r="F259" s="60" t="s">
        <v>17</v>
      </c>
      <c r="G259" s="40">
        <v>704</v>
      </c>
      <c r="H259" s="41">
        <v>90</v>
      </c>
      <c r="I259" s="61">
        <v>63360</v>
      </c>
      <c r="J259" s="62">
        <v>0</v>
      </c>
      <c r="K259" s="61">
        <v>63360</v>
      </c>
      <c r="L259" s="40" t="s">
        <v>18</v>
      </c>
      <c r="M259" s="40">
        <v>3.9</v>
      </c>
    </row>
    <row r="260" spans="1:13">
      <c r="A260" s="35">
        <v>258</v>
      </c>
      <c r="B260" s="63" t="s">
        <v>42</v>
      </c>
      <c r="C260" s="35">
        <v>11</v>
      </c>
      <c r="D260" s="63" t="s">
        <v>29</v>
      </c>
      <c r="E260" s="63" t="s">
        <v>30</v>
      </c>
      <c r="F260" s="63" t="s">
        <v>19</v>
      </c>
      <c r="G260" s="35">
        <v>605</v>
      </c>
      <c r="H260" s="36">
        <v>90</v>
      </c>
      <c r="I260" s="64">
        <v>54450</v>
      </c>
      <c r="J260" s="65">
        <v>0</v>
      </c>
      <c r="K260" s="64">
        <v>54450</v>
      </c>
      <c r="L260" s="35" t="s">
        <v>18</v>
      </c>
      <c r="M260" s="35">
        <v>4.6</v>
      </c>
    </row>
    <row r="261" spans="1:13">
      <c r="A261" s="40">
        <v>259</v>
      </c>
      <c r="B261" s="60" t="s">
        <v>42</v>
      </c>
      <c r="C261" s="40">
        <v>11</v>
      </c>
      <c r="D261" s="60" t="s">
        <v>29</v>
      </c>
      <c r="E261" s="60" t="s">
        <v>30</v>
      </c>
      <c r="F261" s="60" t="s">
        <v>20</v>
      </c>
      <c r="G261" s="40">
        <v>595</v>
      </c>
      <c r="H261" s="41">
        <v>90</v>
      </c>
      <c r="I261" s="61">
        <v>53550</v>
      </c>
      <c r="J261" s="62">
        <v>0</v>
      </c>
      <c r="K261" s="61">
        <v>53550</v>
      </c>
      <c r="L261" s="40" t="s">
        <v>18</v>
      </c>
      <c r="M261" s="40">
        <v>4.1</v>
      </c>
    </row>
    <row r="262" spans="1:13">
      <c r="A262" s="35">
        <v>260</v>
      </c>
      <c r="B262" s="63" t="s">
        <v>42</v>
      </c>
      <c r="C262" s="35">
        <v>11</v>
      </c>
      <c r="D262" s="63" t="s">
        <v>29</v>
      </c>
      <c r="E262" s="63" t="s">
        <v>30</v>
      </c>
      <c r="F262" s="63" t="s">
        <v>21</v>
      </c>
      <c r="G262" s="35">
        <v>712</v>
      </c>
      <c r="H262" s="36">
        <v>90</v>
      </c>
      <c r="I262" s="64">
        <v>64080</v>
      </c>
      <c r="J262" s="65">
        <v>0</v>
      </c>
      <c r="K262" s="64">
        <v>64080</v>
      </c>
      <c r="L262" s="35" t="s">
        <v>18</v>
      </c>
      <c r="M262" s="35">
        <v>4.9</v>
      </c>
    </row>
    <row r="263" spans="1:13">
      <c r="A263" s="40">
        <v>261</v>
      </c>
      <c r="B263" s="60" t="s">
        <v>42</v>
      </c>
      <c r="C263" s="40">
        <v>11</v>
      </c>
      <c r="D263" s="60" t="s">
        <v>31</v>
      </c>
      <c r="E263" s="60" t="s">
        <v>32</v>
      </c>
      <c r="F263" s="60" t="s">
        <v>17</v>
      </c>
      <c r="G263" s="40">
        <v>1231</v>
      </c>
      <c r="H263" s="41">
        <v>35</v>
      </c>
      <c r="I263" s="61">
        <v>43085</v>
      </c>
      <c r="J263" s="62">
        <v>0</v>
      </c>
      <c r="K263" s="61">
        <v>43085</v>
      </c>
      <c r="L263" s="40" t="s">
        <v>18</v>
      </c>
      <c r="M263" s="40">
        <v>4.3</v>
      </c>
    </row>
    <row r="264" spans="1:13">
      <c r="A264" s="35">
        <v>262</v>
      </c>
      <c r="B264" s="63" t="s">
        <v>42</v>
      </c>
      <c r="C264" s="35">
        <v>11</v>
      </c>
      <c r="D264" s="63" t="s">
        <v>31</v>
      </c>
      <c r="E264" s="63" t="s">
        <v>32</v>
      </c>
      <c r="F264" s="63" t="s">
        <v>19</v>
      </c>
      <c r="G264" s="35">
        <v>1481</v>
      </c>
      <c r="H264" s="36">
        <v>35</v>
      </c>
      <c r="I264" s="64">
        <v>51835</v>
      </c>
      <c r="J264" s="65">
        <v>0</v>
      </c>
      <c r="K264" s="64">
        <v>51835</v>
      </c>
      <c r="L264" s="35" t="s">
        <v>18</v>
      </c>
      <c r="M264" s="35">
        <v>4.7</v>
      </c>
    </row>
    <row r="265" spans="1:13">
      <c r="A265" s="40">
        <v>263</v>
      </c>
      <c r="B265" s="60" t="s">
        <v>42</v>
      </c>
      <c r="C265" s="40">
        <v>11</v>
      </c>
      <c r="D265" s="60" t="s">
        <v>31</v>
      </c>
      <c r="E265" s="60" t="s">
        <v>32</v>
      </c>
      <c r="F265" s="60" t="s">
        <v>20</v>
      </c>
      <c r="G265" s="40">
        <v>1115</v>
      </c>
      <c r="H265" s="41">
        <v>35</v>
      </c>
      <c r="I265" s="61">
        <v>39025</v>
      </c>
      <c r="J265" s="62">
        <v>0</v>
      </c>
      <c r="K265" s="61">
        <v>39025</v>
      </c>
      <c r="L265" s="40" t="s">
        <v>18</v>
      </c>
      <c r="M265" s="40">
        <v>4.2</v>
      </c>
    </row>
    <row r="266" spans="1:13">
      <c r="A266" s="35">
        <v>264</v>
      </c>
      <c r="B266" s="63" t="s">
        <v>42</v>
      </c>
      <c r="C266" s="35">
        <v>11</v>
      </c>
      <c r="D266" s="63" t="s">
        <v>31</v>
      </c>
      <c r="E266" s="63" t="s">
        <v>32</v>
      </c>
      <c r="F266" s="63" t="s">
        <v>21</v>
      </c>
      <c r="G266" s="35">
        <v>1294</v>
      </c>
      <c r="H266" s="36">
        <v>35</v>
      </c>
      <c r="I266" s="64">
        <v>45290</v>
      </c>
      <c r="J266" s="65">
        <v>0</v>
      </c>
      <c r="K266" s="64">
        <v>45290</v>
      </c>
      <c r="L266" s="35" t="s">
        <v>18</v>
      </c>
      <c r="M266" s="35">
        <v>4.5</v>
      </c>
    </row>
    <row r="267" spans="1:13">
      <c r="A267" s="40">
        <v>265</v>
      </c>
      <c r="B267" s="60" t="s">
        <v>43</v>
      </c>
      <c r="C267" s="40">
        <v>12</v>
      </c>
      <c r="D267" s="60" t="s">
        <v>15</v>
      </c>
      <c r="E267" s="60" t="s">
        <v>16</v>
      </c>
      <c r="F267" s="60" t="s">
        <v>17</v>
      </c>
      <c r="G267" s="40">
        <v>2008</v>
      </c>
      <c r="H267" s="41">
        <v>45</v>
      </c>
      <c r="I267" s="61">
        <v>90360</v>
      </c>
      <c r="J267" s="62">
        <v>20</v>
      </c>
      <c r="K267" s="61">
        <v>72288</v>
      </c>
      <c r="L267" s="40" t="s">
        <v>22</v>
      </c>
      <c r="M267" s="40">
        <v>3.9</v>
      </c>
    </row>
    <row r="268" spans="1:13">
      <c r="A268" s="35">
        <v>266</v>
      </c>
      <c r="B268" s="63" t="s">
        <v>43</v>
      </c>
      <c r="C268" s="35">
        <v>12</v>
      </c>
      <c r="D268" s="63" t="s">
        <v>15</v>
      </c>
      <c r="E268" s="63" t="s">
        <v>16</v>
      </c>
      <c r="F268" s="63" t="s">
        <v>19</v>
      </c>
      <c r="G268" s="35">
        <v>1801</v>
      </c>
      <c r="H268" s="36">
        <v>45</v>
      </c>
      <c r="I268" s="64">
        <v>81045</v>
      </c>
      <c r="J268" s="65">
        <v>0</v>
      </c>
      <c r="K268" s="64">
        <v>81045</v>
      </c>
      <c r="L268" s="35" t="s">
        <v>18</v>
      </c>
      <c r="M268" s="35">
        <v>3.7</v>
      </c>
    </row>
    <row r="269" spans="1:13">
      <c r="A269" s="40">
        <v>267</v>
      </c>
      <c r="B269" s="60" t="s">
        <v>43</v>
      </c>
      <c r="C269" s="40">
        <v>12</v>
      </c>
      <c r="D269" s="60" t="s">
        <v>15</v>
      </c>
      <c r="E269" s="60" t="s">
        <v>16</v>
      </c>
      <c r="F269" s="60" t="s">
        <v>20</v>
      </c>
      <c r="G269" s="40">
        <v>1567</v>
      </c>
      <c r="H269" s="41">
        <v>45</v>
      </c>
      <c r="I269" s="61">
        <v>70515</v>
      </c>
      <c r="J269" s="62">
        <v>0</v>
      </c>
      <c r="K269" s="61">
        <v>70515</v>
      </c>
      <c r="L269" s="40" t="s">
        <v>18</v>
      </c>
      <c r="M269" s="40">
        <v>4.3</v>
      </c>
    </row>
    <row r="270" spans="1:13">
      <c r="A270" s="35">
        <v>268</v>
      </c>
      <c r="B270" s="63" t="s">
        <v>43</v>
      </c>
      <c r="C270" s="35">
        <v>12</v>
      </c>
      <c r="D270" s="63" t="s">
        <v>15</v>
      </c>
      <c r="E270" s="63" t="s">
        <v>16</v>
      </c>
      <c r="F270" s="63" t="s">
        <v>21</v>
      </c>
      <c r="G270" s="35">
        <v>1850</v>
      </c>
      <c r="H270" s="36">
        <v>45</v>
      </c>
      <c r="I270" s="64">
        <v>83250</v>
      </c>
      <c r="J270" s="65">
        <v>0</v>
      </c>
      <c r="K270" s="64">
        <v>83250</v>
      </c>
      <c r="L270" s="35" t="s">
        <v>18</v>
      </c>
      <c r="M270" s="35">
        <v>4.8</v>
      </c>
    </row>
    <row r="271" spans="1:13">
      <c r="A271" s="40">
        <v>269</v>
      </c>
      <c r="B271" s="60" t="s">
        <v>43</v>
      </c>
      <c r="C271" s="40">
        <v>12</v>
      </c>
      <c r="D271" s="60" t="s">
        <v>23</v>
      </c>
      <c r="E271" s="60" t="s">
        <v>24</v>
      </c>
      <c r="F271" s="60" t="s">
        <v>17</v>
      </c>
      <c r="G271" s="40">
        <v>949</v>
      </c>
      <c r="H271" s="41">
        <v>125</v>
      </c>
      <c r="I271" s="61">
        <v>118625</v>
      </c>
      <c r="J271" s="62">
        <v>0</v>
      </c>
      <c r="K271" s="61">
        <v>118625</v>
      </c>
      <c r="L271" s="40" t="s">
        <v>18</v>
      </c>
      <c r="M271" s="40">
        <v>4.4</v>
      </c>
    </row>
    <row r="272" spans="1:13">
      <c r="A272" s="35">
        <v>270</v>
      </c>
      <c r="B272" s="63" t="s">
        <v>43</v>
      </c>
      <c r="C272" s="35">
        <v>12</v>
      </c>
      <c r="D272" s="63" t="s">
        <v>23</v>
      </c>
      <c r="E272" s="63" t="s">
        <v>24</v>
      </c>
      <c r="F272" s="63" t="s">
        <v>19</v>
      </c>
      <c r="G272" s="35">
        <v>964</v>
      </c>
      <c r="H272" s="36">
        <v>125</v>
      </c>
      <c r="I272" s="64">
        <v>120500</v>
      </c>
      <c r="J272" s="65">
        <v>0</v>
      </c>
      <c r="K272" s="64">
        <v>120500</v>
      </c>
      <c r="L272" s="35" t="s">
        <v>18</v>
      </c>
      <c r="M272" s="35">
        <v>4</v>
      </c>
    </row>
    <row r="273" spans="1:13">
      <c r="A273" s="40">
        <v>271</v>
      </c>
      <c r="B273" s="60" t="s">
        <v>43</v>
      </c>
      <c r="C273" s="40">
        <v>12</v>
      </c>
      <c r="D273" s="60" t="s">
        <v>23</v>
      </c>
      <c r="E273" s="60" t="s">
        <v>24</v>
      </c>
      <c r="F273" s="60" t="s">
        <v>20</v>
      </c>
      <c r="G273" s="40">
        <v>678</v>
      </c>
      <c r="H273" s="41">
        <v>125</v>
      </c>
      <c r="I273" s="61">
        <v>84750</v>
      </c>
      <c r="J273" s="62">
        <v>0</v>
      </c>
      <c r="K273" s="61">
        <v>84750</v>
      </c>
      <c r="L273" s="40" t="s">
        <v>18</v>
      </c>
      <c r="M273" s="40">
        <v>4.9</v>
      </c>
    </row>
    <row r="274" spans="1:13">
      <c r="A274" s="35">
        <v>272</v>
      </c>
      <c r="B274" s="63" t="s">
        <v>43</v>
      </c>
      <c r="C274" s="35">
        <v>12</v>
      </c>
      <c r="D274" s="63" t="s">
        <v>23</v>
      </c>
      <c r="E274" s="63" t="s">
        <v>24</v>
      </c>
      <c r="F274" s="63" t="s">
        <v>21</v>
      </c>
      <c r="G274" s="35">
        <v>941</v>
      </c>
      <c r="H274" s="36">
        <v>125</v>
      </c>
      <c r="I274" s="64">
        <v>117625</v>
      </c>
      <c r="J274" s="65">
        <v>0</v>
      </c>
      <c r="K274" s="64">
        <v>117625</v>
      </c>
      <c r="L274" s="35" t="s">
        <v>18</v>
      </c>
      <c r="M274" s="35">
        <v>3.7</v>
      </c>
    </row>
    <row r="275" spans="1:13">
      <c r="A275" s="40">
        <v>273</v>
      </c>
      <c r="B275" s="60" t="s">
        <v>43</v>
      </c>
      <c r="C275" s="40">
        <v>12</v>
      </c>
      <c r="D275" s="60" t="s">
        <v>25</v>
      </c>
      <c r="E275" s="60" t="s">
        <v>26</v>
      </c>
      <c r="F275" s="60" t="s">
        <v>17</v>
      </c>
      <c r="G275" s="40">
        <v>1260</v>
      </c>
      <c r="H275" s="41">
        <v>80</v>
      </c>
      <c r="I275" s="61">
        <v>100800</v>
      </c>
      <c r="J275" s="62">
        <v>15</v>
      </c>
      <c r="K275" s="61">
        <v>85680</v>
      </c>
      <c r="L275" s="40" t="s">
        <v>22</v>
      </c>
      <c r="M275" s="40">
        <v>3.7</v>
      </c>
    </row>
    <row r="276" spans="1:13">
      <c r="A276" s="35">
        <v>274</v>
      </c>
      <c r="B276" s="63" t="s">
        <v>43</v>
      </c>
      <c r="C276" s="35">
        <v>12</v>
      </c>
      <c r="D276" s="63" t="s">
        <v>25</v>
      </c>
      <c r="E276" s="63" t="s">
        <v>26</v>
      </c>
      <c r="F276" s="63" t="s">
        <v>19</v>
      </c>
      <c r="G276" s="35">
        <v>1072</v>
      </c>
      <c r="H276" s="36">
        <v>80</v>
      </c>
      <c r="I276" s="64">
        <v>85760</v>
      </c>
      <c r="J276" s="65">
        <v>0</v>
      </c>
      <c r="K276" s="64">
        <v>85760</v>
      </c>
      <c r="L276" s="35" t="s">
        <v>18</v>
      </c>
      <c r="M276" s="35">
        <v>4.1</v>
      </c>
    </row>
    <row r="277" spans="1:13">
      <c r="A277" s="40">
        <v>275</v>
      </c>
      <c r="B277" s="60" t="s">
        <v>43</v>
      </c>
      <c r="C277" s="40">
        <v>12</v>
      </c>
      <c r="D277" s="60" t="s">
        <v>25</v>
      </c>
      <c r="E277" s="60" t="s">
        <v>26</v>
      </c>
      <c r="F277" s="60" t="s">
        <v>20</v>
      </c>
      <c r="G277" s="40">
        <v>934</v>
      </c>
      <c r="H277" s="41">
        <v>80</v>
      </c>
      <c r="I277" s="61">
        <v>74720</v>
      </c>
      <c r="J277" s="62">
        <v>20</v>
      </c>
      <c r="K277" s="61">
        <v>59776</v>
      </c>
      <c r="L277" s="40" t="s">
        <v>22</v>
      </c>
      <c r="M277" s="40">
        <v>4.6</v>
      </c>
    </row>
    <row r="278" spans="1:13">
      <c r="A278" s="35">
        <v>276</v>
      </c>
      <c r="B278" s="63" t="s">
        <v>43</v>
      </c>
      <c r="C278" s="35">
        <v>12</v>
      </c>
      <c r="D278" s="63" t="s">
        <v>25</v>
      </c>
      <c r="E278" s="63" t="s">
        <v>26</v>
      </c>
      <c r="F278" s="63" t="s">
        <v>21</v>
      </c>
      <c r="G278" s="35">
        <v>1126</v>
      </c>
      <c r="H278" s="36">
        <v>80</v>
      </c>
      <c r="I278" s="64">
        <v>90080</v>
      </c>
      <c r="J278" s="65">
        <v>5</v>
      </c>
      <c r="K278" s="64">
        <v>85576</v>
      </c>
      <c r="L278" s="35" t="s">
        <v>22</v>
      </c>
      <c r="M278" s="35">
        <v>4.1</v>
      </c>
    </row>
    <row r="279" spans="1:13">
      <c r="A279" s="40">
        <v>277</v>
      </c>
      <c r="B279" s="60" t="s">
        <v>43</v>
      </c>
      <c r="C279" s="40">
        <v>12</v>
      </c>
      <c r="D279" s="60" t="s">
        <v>27</v>
      </c>
      <c r="E279" s="60" t="s">
        <v>28</v>
      </c>
      <c r="F279" s="60" t="s">
        <v>17</v>
      </c>
      <c r="G279" s="40">
        <v>2297</v>
      </c>
      <c r="H279" s="41">
        <v>25</v>
      </c>
      <c r="I279" s="61">
        <v>57425</v>
      </c>
      <c r="J279" s="62">
        <v>0</v>
      </c>
      <c r="K279" s="61">
        <v>57425</v>
      </c>
      <c r="L279" s="40" t="s">
        <v>18</v>
      </c>
      <c r="M279" s="40">
        <v>4.4</v>
      </c>
    </row>
    <row r="280" spans="1:13">
      <c r="A280" s="35">
        <v>278</v>
      </c>
      <c r="B280" s="63" t="s">
        <v>43</v>
      </c>
      <c r="C280" s="35">
        <v>12</v>
      </c>
      <c r="D280" s="63" t="s">
        <v>27</v>
      </c>
      <c r="E280" s="63" t="s">
        <v>28</v>
      </c>
      <c r="F280" s="63" t="s">
        <v>19</v>
      </c>
      <c r="G280" s="35">
        <v>2331</v>
      </c>
      <c r="H280" s="36">
        <v>25</v>
      </c>
      <c r="I280" s="64">
        <v>58275</v>
      </c>
      <c r="J280" s="65">
        <v>0</v>
      </c>
      <c r="K280" s="64">
        <v>58275</v>
      </c>
      <c r="L280" s="35" t="s">
        <v>18</v>
      </c>
      <c r="M280" s="35">
        <v>4.2</v>
      </c>
    </row>
    <row r="281" spans="1:13">
      <c r="A281" s="40">
        <v>279</v>
      </c>
      <c r="B281" s="60" t="s">
        <v>43</v>
      </c>
      <c r="C281" s="40">
        <v>12</v>
      </c>
      <c r="D281" s="60" t="s">
        <v>27</v>
      </c>
      <c r="E281" s="60" t="s">
        <v>28</v>
      </c>
      <c r="F281" s="60" t="s">
        <v>20</v>
      </c>
      <c r="G281" s="40">
        <v>2015</v>
      </c>
      <c r="H281" s="41">
        <v>25</v>
      </c>
      <c r="I281" s="61">
        <v>50375</v>
      </c>
      <c r="J281" s="62">
        <v>0</v>
      </c>
      <c r="K281" s="61">
        <v>50375</v>
      </c>
      <c r="L281" s="40" t="s">
        <v>18</v>
      </c>
      <c r="M281" s="40">
        <v>4.2</v>
      </c>
    </row>
    <row r="282" spans="1:13">
      <c r="A282" s="35">
        <v>280</v>
      </c>
      <c r="B282" s="63" t="s">
        <v>43</v>
      </c>
      <c r="C282" s="35">
        <v>12</v>
      </c>
      <c r="D282" s="63" t="s">
        <v>27</v>
      </c>
      <c r="E282" s="63" t="s">
        <v>28</v>
      </c>
      <c r="F282" s="63" t="s">
        <v>21</v>
      </c>
      <c r="G282" s="35">
        <v>2219</v>
      </c>
      <c r="H282" s="36">
        <v>25</v>
      </c>
      <c r="I282" s="64">
        <v>55475</v>
      </c>
      <c r="J282" s="65">
        <v>0</v>
      </c>
      <c r="K282" s="64">
        <v>55475</v>
      </c>
      <c r="L282" s="35" t="s">
        <v>18</v>
      </c>
      <c r="M282" s="35">
        <v>3.7</v>
      </c>
    </row>
    <row r="283" spans="1:13">
      <c r="A283" s="40">
        <v>281</v>
      </c>
      <c r="B283" s="60" t="s">
        <v>43</v>
      </c>
      <c r="C283" s="40">
        <v>12</v>
      </c>
      <c r="D283" s="60" t="s">
        <v>29</v>
      </c>
      <c r="E283" s="60" t="s">
        <v>30</v>
      </c>
      <c r="F283" s="60" t="s">
        <v>17</v>
      </c>
      <c r="G283" s="40">
        <v>817</v>
      </c>
      <c r="H283" s="41">
        <v>90</v>
      </c>
      <c r="I283" s="61">
        <v>73530</v>
      </c>
      <c r="J283" s="62">
        <v>0</v>
      </c>
      <c r="K283" s="61">
        <v>73530</v>
      </c>
      <c r="L283" s="40" t="s">
        <v>18</v>
      </c>
      <c r="M283" s="40">
        <v>4</v>
      </c>
    </row>
    <row r="284" spans="1:13">
      <c r="A284" s="35">
        <v>282</v>
      </c>
      <c r="B284" s="63" t="s">
        <v>43</v>
      </c>
      <c r="C284" s="35">
        <v>12</v>
      </c>
      <c r="D284" s="63" t="s">
        <v>29</v>
      </c>
      <c r="E284" s="63" t="s">
        <v>30</v>
      </c>
      <c r="F284" s="63" t="s">
        <v>19</v>
      </c>
      <c r="G284" s="35">
        <v>751</v>
      </c>
      <c r="H284" s="36">
        <v>90</v>
      </c>
      <c r="I284" s="64">
        <v>67590</v>
      </c>
      <c r="J284" s="65">
        <v>0</v>
      </c>
      <c r="K284" s="64">
        <v>67590</v>
      </c>
      <c r="L284" s="35" t="s">
        <v>18</v>
      </c>
      <c r="M284" s="35">
        <v>4.2</v>
      </c>
    </row>
    <row r="285" spans="1:13">
      <c r="A285" s="40">
        <v>283</v>
      </c>
      <c r="B285" s="60" t="s">
        <v>43</v>
      </c>
      <c r="C285" s="40">
        <v>12</v>
      </c>
      <c r="D285" s="60" t="s">
        <v>29</v>
      </c>
      <c r="E285" s="60" t="s">
        <v>30</v>
      </c>
      <c r="F285" s="60" t="s">
        <v>20</v>
      </c>
      <c r="G285" s="40">
        <v>655</v>
      </c>
      <c r="H285" s="41">
        <v>90</v>
      </c>
      <c r="I285" s="61">
        <v>58950</v>
      </c>
      <c r="J285" s="62">
        <v>0</v>
      </c>
      <c r="K285" s="61">
        <v>58950</v>
      </c>
      <c r="L285" s="40" t="s">
        <v>18</v>
      </c>
      <c r="M285" s="40">
        <v>4.7</v>
      </c>
    </row>
    <row r="286" spans="1:13">
      <c r="A286" s="35">
        <v>284</v>
      </c>
      <c r="B286" s="63" t="s">
        <v>43</v>
      </c>
      <c r="C286" s="35">
        <v>12</v>
      </c>
      <c r="D286" s="63" t="s">
        <v>29</v>
      </c>
      <c r="E286" s="63" t="s">
        <v>30</v>
      </c>
      <c r="F286" s="63" t="s">
        <v>21</v>
      </c>
      <c r="G286" s="35">
        <v>710</v>
      </c>
      <c r="H286" s="36">
        <v>90</v>
      </c>
      <c r="I286" s="64">
        <v>63900</v>
      </c>
      <c r="J286" s="65">
        <v>20</v>
      </c>
      <c r="K286" s="64">
        <v>51120</v>
      </c>
      <c r="L286" s="35" t="s">
        <v>22</v>
      </c>
      <c r="M286" s="35">
        <v>4.3</v>
      </c>
    </row>
    <row r="287" spans="1:13">
      <c r="A287" s="40">
        <v>285</v>
      </c>
      <c r="B287" s="60" t="s">
        <v>43</v>
      </c>
      <c r="C287" s="40">
        <v>12</v>
      </c>
      <c r="D287" s="60" t="s">
        <v>31</v>
      </c>
      <c r="E287" s="60" t="s">
        <v>32</v>
      </c>
      <c r="F287" s="60" t="s">
        <v>17</v>
      </c>
      <c r="G287" s="40">
        <v>1391</v>
      </c>
      <c r="H287" s="41">
        <v>35</v>
      </c>
      <c r="I287" s="61">
        <v>48685</v>
      </c>
      <c r="J287" s="62">
        <v>0</v>
      </c>
      <c r="K287" s="61">
        <v>48685</v>
      </c>
      <c r="L287" s="40" t="s">
        <v>18</v>
      </c>
      <c r="M287" s="40">
        <v>4.9</v>
      </c>
    </row>
    <row r="288" spans="1:13">
      <c r="A288" s="35">
        <v>286</v>
      </c>
      <c r="B288" s="63" t="s">
        <v>43</v>
      </c>
      <c r="C288" s="35">
        <v>12</v>
      </c>
      <c r="D288" s="63" t="s">
        <v>31</v>
      </c>
      <c r="E288" s="63" t="s">
        <v>32</v>
      </c>
      <c r="F288" s="63" t="s">
        <v>19</v>
      </c>
      <c r="G288" s="35">
        <v>1358</v>
      </c>
      <c r="H288" s="36">
        <v>35</v>
      </c>
      <c r="I288" s="64">
        <v>47530</v>
      </c>
      <c r="J288" s="65">
        <v>0</v>
      </c>
      <c r="K288" s="64">
        <v>47530</v>
      </c>
      <c r="L288" s="35" t="s">
        <v>18</v>
      </c>
      <c r="M288" s="35">
        <v>4.3</v>
      </c>
    </row>
    <row r="289" spans="1:13">
      <c r="A289" s="40">
        <v>287</v>
      </c>
      <c r="B289" s="60" t="s">
        <v>43</v>
      </c>
      <c r="C289" s="40">
        <v>12</v>
      </c>
      <c r="D289" s="60" t="s">
        <v>31</v>
      </c>
      <c r="E289" s="60" t="s">
        <v>32</v>
      </c>
      <c r="F289" s="60" t="s">
        <v>20</v>
      </c>
      <c r="G289" s="40">
        <v>1239</v>
      </c>
      <c r="H289" s="41">
        <v>35</v>
      </c>
      <c r="I289" s="61">
        <v>43365</v>
      </c>
      <c r="J289" s="62">
        <v>0</v>
      </c>
      <c r="K289" s="61">
        <v>43365</v>
      </c>
      <c r="L289" s="40" t="s">
        <v>18</v>
      </c>
      <c r="M289" s="40">
        <v>3.7</v>
      </c>
    </row>
    <row r="290" spans="1:13">
      <c r="A290" s="35">
        <v>288</v>
      </c>
      <c r="B290" s="63" t="s">
        <v>43</v>
      </c>
      <c r="C290" s="35">
        <v>12</v>
      </c>
      <c r="D290" s="63" t="s">
        <v>31</v>
      </c>
      <c r="E290" s="63" t="s">
        <v>32</v>
      </c>
      <c r="F290" s="63" t="s">
        <v>21</v>
      </c>
      <c r="G290" s="35">
        <v>1395</v>
      </c>
      <c r="H290" s="36">
        <v>35</v>
      </c>
      <c r="I290" s="64">
        <v>48825</v>
      </c>
      <c r="J290" s="65">
        <v>0</v>
      </c>
      <c r="K290" s="64">
        <v>48825</v>
      </c>
      <c r="L290" s="35" t="s">
        <v>18</v>
      </c>
      <c r="M290" s="35">
        <v>4.8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4D8"/>
  </sheetPr>
  <dimension ref="A1:N21"/>
  <sheetViews>
    <sheetView showGridLines="0" topLeftCell="A5" workbookViewId="0">
      <selection activeCell="H27" sqref="H27"/>
    </sheetView>
  </sheetViews>
  <sheetFormatPr defaultColWidth="8.67592592592593" defaultRowHeight="14.4"/>
  <cols>
    <col min="1" max="6" width="16" customWidth="1"/>
    <col min="7" max="14" width="13" customWidth="1"/>
  </cols>
  <sheetData>
    <row r="1" ht="31.5" customHeight="1" spans="1:14">
      <c r="A1" s="33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3" ht="24" customHeight="1" spans="1:14">
      <c r="A3" s="3" t="s">
        <v>45</v>
      </c>
      <c r="B3" s="3"/>
      <c r="C3" s="3"/>
      <c r="D3" s="3"/>
      <c r="E3" s="3"/>
      <c r="F3" s="3"/>
    </row>
    <row r="4" ht="25.5" customHeight="1" spans="1:14">
      <c r="A4" s="34" t="s">
        <v>4</v>
      </c>
      <c r="B4" s="34" t="s">
        <v>17</v>
      </c>
      <c r="C4" s="34" t="s">
        <v>19</v>
      </c>
      <c r="D4" s="34" t="s">
        <v>20</v>
      </c>
      <c r="E4" s="34" t="s">
        <v>21</v>
      </c>
      <c r="F4" s="34" t="s">
        <v>46</v>
      </c>
    </row>
    <row r="5" ht="21.75" customHeight="1" spans="1:14">
      <c r="A5" s="56" t="s">
        <v>15</v>
      </c>
      <c r="B5" s="36">
        <v>1071189</v>
      </c>
      <c r="C5" s="36">
        <v>1101010</v>
      </c>
      <c r="D5" s="36">
        <v>874869</v>
      </c>
      <c r="E5" s="36">
        <v>997653</v>
      </c>
      <c r="F5" s="57">
        <v>4044721</v>
      </c>
    </row>
    <row r="6" ht="21.75" customHeight="1" spans="1:14">
      <c r="A6" s="56" t="s">
        <v>23</v>
      </c>
      <c r="B6" s="41">
        <v>1485425</v>
      </c>
      <c r="C6" s="41">
        <v>1548337</v>
      </c>
      <c r="D6" s="41">
        <v>1229650</v>
      </c>
      <c r="E6" s="41">
        <v>1471900</v>
      </c>
      <c r="F6" s="57">
        <v>5735312</v>
      </c>
    </row>
    <row r="7" ht="21.75" customHeight="1" spans="1:14">
      <c r="A7" s="56" t="s">
        <v>25</v>
      </c>
      <c r="B7" s="36">
        <v>1181620</v>
      </c>
      <c r="C7" s="36">
        <v>1208400</v>
      </c>
      <c r="D7" s="36">
        <v>906148</v>
      </c>
      <c r="E7" s="36">
        <v>1176180</v>
      </c>
      <c r="F7" s="57">
        <v>4472348</v>
      </c>
    </row>
    <row r="8" ht="21.75" customHeight="1" spans="1:14">
      <c r="A8" s="56" t="s">
        <v>27</v>
      </c>
      <c r="B8" s="41">
        <v>790650</v>
      </c>
      <c r="C8" s="41">
        <v>746526</v>
      </c>
      <c r="D8" s="41">
        <v>578052</v>
      </c>
      <c r="E8" s="41">
        <v>715009</v>
      </c>
      <c r="F8" s="57">
        <v>2830237</v>
      </c>
    </row>
    <row r="9" ht="21.75" customHeight="1" spans="1:14">
      <c r="A9" s="56" t="s">
        <v>29</v>
      </c>
      <c r="B9" s="36">
        <v>833580</v>
      </c>
      <c r="C9" s="36">
        <v>872712</v>
      </c>
      <c r="D9" s="36">
        <v>704898</v>
      </c>
      <c r="E9" s="36">
        <v>812520</v>
      </c>
      <c r="F9" s="57">
        <v>3223710</v>
      </c>
    </row>
    <row r="10" ht="21.75" customHeight="1" spans="1:14">
      <c r="A10" s="56" t="s">
        <v>31</v>
      </c>
      <c r="B10" s="41">
        <v>692742</v>
      </c>
      <c r="C10" s="41">
        <v>658975</v>
      </c>
      <c r="D10" s="41">
        <v>506133</v>
      </c>
      <c r="E10" s="41">
        <v>650591</v>
      </c>
      <c r="F10" s="57">
        <v>2508441</v>
      </c>
    </row>
    <row r="11" spans="1:14">
      <c r="A11" s="58" t="s">
        <v>46</v>
      </c>
      <c r="B11" s="46">
        <v>6055206</v>
      </c>
      <c r="C11" s="46">
        <v>6135960</v>
      </c>
      <c r="D11" s="46">
        <v>4799750</v>
      </c>
      <c r="E11" s="46">
        <v>5823853</v>
      </c>
      <c r="F11" s="46">
        <v>22814769</v>
      </c>
    </row>
    <row r="14" ht="24" customHeight="1" spans="1:14">
      <c r="A14" s="3" t="s">
        <v>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25.5" customHeight="1" spans="1:14">
      <c r="A15" s="34" t="s">
        <v>4</v>
      </c>
      <c r="B15" s="34" t="s">
        <v>14</v>
      </c>
      <c r="C15" s="34" t="s">
        <v>33</v>
      </c>
      <c r="D15" s="34" t="s">
        <v>34</v>
      </c>
      <c r="E15" s="34" t="s">
        <v>35</v>
      </c>
      <c r="F15" s="34" t="s">
        <v>36</v>
      </c>
      <c r="G15" s="34" t="s">
        <v>37</v>
      </c>
      <c r="H15" s="34" t="s">
        <v>38</v>
      </c>
      <c r="I15" s="34" t="s">
        <v>39</v>
      </c>
      <c r="J15" s="34" t="s">
        <v>40</v>
      </c>
      <c r="K15" s="34" t="s">
        <v>41</v>
      </c>
      <c r="L15" s="34" t="s">
        <v>42</v>
      </c>
      <c r="M15" s="34" t="s">
        <v>43</v>
      </c>
      <c r="N15" s="34" t="s">
        <v>48</v>
      </c>
    </row>
    <row r="16" spans="1:14">
      <c r="A16" s="56" t="s">
        <v>15</v>
      </c>
      <c r="B16" s="36">
        <v>261077</v>
      </c>
      <c r="C16" s="36">
        <v>272340</v>
      </c>
      <c r="D16" s="36">
        <v>301275</v>
      </c>
      <c r="E16" s="36">
        <v>332233</v>
      </c>
      <c r="F16" s="36">
        <v>402435</v>
      </c>
      <c r="G16" s="36">
        <v>398720</v>
      </c>
      <c r="H16" s="36">
        <v>383301</v>
      </c>
      <c r="I16" s="36">
        <v>426555</v>
      </c>
      <c r="J16" s="36">
        <v>360720</v>
      </c>
      <c r="K16" s="36">
        <v>331105</v>
      </c>
      <c r="L16" s="36">
        <v>267862</v>
      </c>
      <c r="M16" s="36">
        <v>307098</v>
      </c>
      <c r="N16" s="57">
        <v>4044721</v>
      </c>
    </row>
    <row r="17" spans="1:14">
      <c r="A17" s="56" t="s">
        <v>23</v>
      </c>
      <c r="B17" s="41">
        <v>397000</v>
      </c>
      <c r="C17" s="41">
        <v>351750</v>
      </c>
      <c r="D17" s="41">
        <v>398100</v>
      </c>
      <c r="E17" s="41">
        <v>475125</v>
      </c>
      <c r="F17" s="41">
        <v>522075</v>
      </c>
      <c r="G17" s="41">
        <v>629025</v>
      </c>
      <c r="H17" s="41">
        <v>579375</v>
      </c>
      <c r="I17" s="41">
        <v>582625</v>
      </c>
      <c r="J17" s="41">
        <v>503500</v>
      </c>
      <c r="K17" s="41">
        <v>451737</v>
      </c>
      <c r="L17" s="41">
        <v>403500</v>
      </c>
      <c r="M17" s="41">
        <v>441500</v>
      </c>
      <c r="N17" s="57">
        <v>5735312</v>
      </c>
    </row>
    <row r="18" spans="1:14">
      <c r="A18" s="56" t="s">
        <v>25</v>
      </c>
      <c r="B18" s="36">
        <v>284656</v>
      </c>
      <c r="C18" s="36">
        <v>292880</v>
      </c>
      <c r="D18" s="36">
        <v>303532</v>
      </c>
      <c r="E18" s="36">
        <v>361084</v>
      </c>
      <c r="F18" s="36">
        <v>419840</v>
      </c>
      <c r="G18" s="36">
        <v>475220</v>
      </c>
      <c r="H18" s="36">
        <v>500960</v>
      </c>
      <c r="I18" s="36">
        <v>420364</v>
      </c>
      <c r="J18" s="36">
        <v>375060</v>
      </c>
      <c r="K18" s="36">
        <v>375320</v>
      </c>
      <c r="L18" s="36">
        <v>346640</v>
      </c>
      <c r="M18" s="36">
        <v>316792</v>
      </c>
      <c r="N18" s="57">
        <v>4472348</v>
      </c>
    </row>
    <row r="19" spans="1:14">
      <c r="A19" s="56" t="s">
        <v>27</v>
      </c>
      <c r="B19" s="41">
        <v>179071</v>
      </c>
      <c r="C19" s="41">
        <v>185924</v>
      </c>
      <c r="D19" s="41">
        <v>208888</v>
      </c>
      <c r="E19" s="41">
        <v>237629</v>
      </c>
      <c r="F19" s="41">
        <v>255239</v>
      </c>
      <c r="G19" s="41">
        <v>329025</v>
      </c>
      <c r="H19" s="41">
        <v>288175</v>
      </c>
      <c r="I19" s="41">
        <v>276700</v>
      </c>
      <c r="J19" s="41">
        <v>231211</v>
      </c>
      <c r="K19" s="41">
        <v>218450</v>
      </c>
      <c r="L19" s="41">
        <v>198375</v>
      </c>
      <c r="M19" s="41">
        <v>221550</v>
      </c>
      <c r="N19" s="57">
        <v>2830237</v>
      </c>
    </row>
    <row r="20" spans="1:14">
      <c r="A20" s="56" t="s">
        <v>29</v>
      </c>
      <c r="B20" s="36">
        <v>203373</v>
      </c>
      <c r="C20" s="36">
        <v>193635</v>
      </c>
      <c r="D20" s="36">
        <v>250470</v>
      </c>
      <c r="E20" s="36">
        <v>250704</v>
      </c>
      <c r="F20" s="36">
        <v>308700</v>
      </c>
      <c r="G20" s="36">
        <v>348552</v>
      </c>
      <c r="H20" s="36">
        <v>322020</v>
      </c>
      <c r="I20" s="36">
        <v>322380</v>
      </c>
      <c r="J20" s="36">
        <v>278766</v>
      </c>
      <c r="K20" s="36">
        <v>258480</v>
      </c>
      <c r="L20" s="36">
        <v>235440</v>
      </c>
      <c r="M20" s="36">
        <v>251190</v>
      </c>
      <c r="N20" s="57">
        <v>3223710</v>
      </c>
    </row>
    <row r="21" spans="1:14">
      <c r="A21" s="56" t="s">
        <v>31</v>
      </c>
      <c r="B21" s="41">
        <v>165305</v>
      </c>
      <c r="C21" s="41">
        <v>158550</v>
      </c>
      <c r="D21" s="41">
        <v>181790</v>
      </c>
      <c r="E21" s="41">
        <v>212894</v>
      </c>
      <c r="F21" s="41">
        <v>231553</v>
      </c>
      <c r="G21" s="41">
        <v>261321</v>
      </c>
      <c r="H21" s="41">
        <v>250358</v>
      </c>
      <c r="I21" s="41">
        <v>239575</v>
      </c>
      <c r="J21" s="41">
        <v>223575</v>
      </c>
      <c r="K21" s="41">
        <v>215880</v>
      </c>
      <c r="L21" s="41">
        <v>179235</v>
      </c>
      <c r="M21" s="41">
        <v>188405</v>
      </c>
      <c r="N21" s="57">
        <v>2508441</v>
      </c>
    </row>
  </sheetData>
  <mergeCells count="3">
    <mergeCell ref="A1:N1"/>
    <mergeCell ref="A3:F3"/>
    <mergeCell ref="A14:N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A261"/>
  </sheetPr>
  <dimension ref="A1:J27"/>
  <sheetViews>
    <sheetView showGridLines="0" workbookViewId="0">
      <selection activeCell="G6" sqref="G6:G16"/>
    </sheetView>
  </sheetViews>
  <sheetFormatPr defaultColWidth="8.67592592592593" defaultRowHeight="14.4"/>
  <cols>
    <col min="1" max="1" width="13.4444444444444" customWidth="1"/>
    <col min="2" max="2" width="10" customWidth="1"/>
    <col min="3" max="4" width="18" customWidth="1"/>
    <col min="5" max="5" width="16" customWidth="1"/>
    <col min="6" max="7" width="14" customWidth="1"/>
    <col min="8" max="9" width="18" customWidth="1"/>
    <col min="10" max="10" width="14" customWidth="1"/>
  </cols>
  <sheetData>
    <row r="1" ht="31.5" customHeight="1" spans="1:10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</row>
    <row r="3" ht="24" customHeight="1" spans="1:10">
      <c r="A3" s="3" t="s">
        <v>50</v>
      </c>
      <c r="B3" s="3"/>
      <c r="C3" s="3"/>
      <c r="D3" s="3"/>
      <c r="E3" s="3"/>
      <c r="F3" s="3"/>
      <c r="G3" s="3"/>
      <c r="H3" s="3"/>
      <c r="I3" s="3"/>
      <c r="J3" s="3"/>
    </row>
    <row r="4" ht="27.75" customHeight="1" spans="1:10">
      <c r="A4" s="34" t="s">
        <v>2</v>
      </c>
      <c r="B4" s="34" t="s">
        <v>3</v>
      </c>
      <c r="C4" s="34" t="s">
        <v>51</v>
      </c>
      <c r="D4" s="34" t="s">
        <v>52</v>
      </c>
      <c r="E4" s="34" t="s">
        <v>53</v>
      </c>
      <c r="F4" s="34" t="s">
        <v>54</v>
      </c>
      <c r="G4" s="34" t="s">
        <v>55</v>
      </c>
      <c r="H4" s="34" t="s">
        <v>56</v>
      </c>
      <c r="I4" s="34" t="s">
        <v>57</v>
      </c>
      <c r="J4" s="34" t="s">
        <v>58</v>
      </c>
    </row>
    <row r="5" ht="21.75" customHeight="1" spans="1:10">
      <c r="A5" s="35" t="s">
        <v>14</v>
      </c>
      <c r="B5" s="35">
        <v>1</v>
      </c>
      <c r="C5" s="36">
        <f>SUMIFS('Raw Data'!K:K,'Raw Data'!B:B,A5)</f>
        <v>1490482</v>
      </c>
      <c r="D5" s="36">
        <v>1490482</v>
      </c>
      <c r="E5" s="37">
        <f t="shared" ref="E5:E17" si="0">C5-D5</f>
        <v>0</v>
      </c>
      <c r="F5" s="38">
        <f t="shared" ref="F5:F17" si="1">IFERROR(C5/D5,0)</f>
        <v>1</v>
      </c>
      <c r="G5" s="39"/>
      <c r="H5" s="36">
        <f>SUM($C$5:C5)</f>
        <v>1490482</v>
      </c>
      <c r="I5" s="36">
        <f>SUM($D$5:D5)</f>
        <v>1490482</v>
      </c>
      <c r="J5" s="35" t="str">
        <f t="shared" ref="J5:J16" si="2">IF(F5&gt;=1,"✅ ON TRACK",IF(F5&gt;=0.92,"⚠️ AT RISK","❌ BELOW"))</f>
        <v>✅ ON TRACK</v>
      </c>
    </row>
    <row r="6" ht="21.75" customHeight="1" spans="1:10">
      <c r="A6" s="40" t="s">
        <v>33</v>
      </c>
      <c r="B6" s="40">
        <v>2</v>
      </c>
      <c r="C6" s="41">
        <f>SUMIFS('Raw Data'!K:K,'Raw Data'!B:B,A6)</f>
        <v>1455079</v>
      </c>
      <c r="D6" s="41">
        <v>1565006</v>
      </c>
      <c r="E6" s="42">
        <f t="shared" si="0"/>
        <v>-109927</v>
      </c>
      <c r="F6" s="43">
        <f t="shared" si="1"/>
        <v>0.929759374724442</v>
      </c>
      <c r="G6" s="43">
        <f t="shared" ref="G6:G16" si="3">IFERROR((C6-C5)/C5,0)</f>
        <v>-0.0237527189191148</v>
      </c>
      <c r="H6" s="41">
        <f>SUM($C$5:C6)</f>
        <v>2945561</v>
      </c>
      <c r="I6" s="41">
        <f>SUM($D$5:D6)</f>
        <v>3055488</v>
      </c>
      <c r="J6" s="40" t="str">
        <f t="shared" si="2"/>
        <v>⚠️ AT RISK</v>
      </c>
    </row>
    <row r="7" ht="21.75" customHeight="1" spans="1:10">
      <c r="A7" s="35" t="s">
        <v>34</v>
      </c>
      <c r="B7" s="35">
        <v>3</v>
      </c>
      <c r="C7" s="36">
        <f>SUMIFS('Raw Data'!K:K,'Raw Data'!B:B,A7)</f>
        <v>1644055</v>
      </c>
      <c r="D7" s="36">
        <v>1643256</v>
      </c>
      <c r="E7" s="37">
        <f t="shared" si="0"/>
        <v>799</v>
      </c>
      <c r="F7" s="38">
        <f t="shared" si="1"/>
        <v>1.00048622977795</v>
      </c>
      <c r="G7" s="38">
        <f t="shared" si="3"/>
        <v>0.129873360827831</v>
      </c>
      <c r="H7" s="36">
        <f>SUM($C$5:C7)</f>
        <v>4589616</v>
      </c>
      <c r="I7" s="36">
        <f>SUM($D$5:D7)</f>
        <v>4698744</v>
      </c>
      <c r="J7" s="35" t="str">
        <f t="shared" si="2"/>
        <v>✅ ON TRACK</v>
      </c>
    </row>
    <row r="8" ht="21.75" customHeight="1" spans="1:10">
      <c r="A8" s="40" t="s">
        <v>35</v>
      </c>
      <c r="B8" s="40">
        <v>4</v>
      </c>
      <c r="C8" s="41">
        <f>SUMIFS('Raw Data'!K:K,'Raw Data'!B:B,A8)</f>
        <v>1869669</v>
      </c>
      <c r="D8" s="41">
        <v>1725419</v>
      </c>
      <c r="E8" s="42">
        <f t="shared" si="0"/>
        <v>144250</v>
      </c>
      <c r="F8" s="43">
        <f t="shared" si="1"/>
        <v>1.08360288138707</v>
      </c>
      <c r="G8" s="43">
        <f t="shared" si="3"/>
        <v>0.137230202152604</v>
      </c>
      <c r="H8" s="41">
        <f>SUM($C$5:C8)</f>
        <v>6459285</v>
      </c>
      <c r="I8" s="41">
        <f>SUM($D$5:D8)</f>
        <v>6424163</v>
      </c>
      <c r="J8" s="40" t="str">
        <f t="shared" si="2"/>
        <v>✅ ON TRACK</v>
      </c>
    </row>
    <row r="9" ht="21.75" customHeight="1" spans="1:10">
      <c r="A9" s="35" t="s">
        <v>36</v>
      </c>
      <c r="B9" s="35">
        <v>5</v>
      </c>
      <c r="C9" s="36">
        <f>SUMIFS('Raw Data'!K:K,'Raw Data'!B:B,A9)</f>
        <v>2139842</v>
      </c>
      <c r="D9" s="36">
        <v>1811690</v>
      </c>
      <c r="E9" s="37">
        <f t="shared" si="0"/>
        <v>328152</v>
      </c>
      <c r="F9" s="38">
        <f t="shared" si="1"/>
        <v>1.18113032582837</v>
      </c>
      <c r="G9" s="38">
        <f t="shared" si="3"/>
        <v>0.14450311793157</v>
      </c>
      <c r="H9" s="36">
        <f>SUM($C$5:C9)</f>
        <v>8599127</v>
      </c>
      <c r="I9" s="36">
        <f>SUM($D$5:D9)</f>
        <v>8235853</v>
      </c>
      <c r="J9" s="35" t="str">
        <f t="shared" si="2"/>
        <v>✅ ON TRACK</v>
      </c>
    </row>
    <row r="10" ht="21.75" customHeight="1" spans="1:10">
      <c r="A10" s="40" t="s">
        <v>37</v>
      </c>
      <c r="B10" s="40">
        <v>6</v>
      </c>
      <c r="C10" s="41">
        <f>SUMIFS('Raw Data'!K:K,'Raw Data'!B:B,A10)</f>
        <v>2441863</v>
      </c>
      <c r="D10" s="41">
        <v>1902275</v>
      </c>
      <c r="E10" s="42">
        <f t="shared" si="0"/>
        <v>539588</v>
      </c>
      <c r="F10" s="43">
        <f t="shared" si="1"/>
        <v>1.28365404581357</v>
      </c>
      <c r="G10" s="43">
        <f t="shared" si="3"/>
        <v>0.141141729155704</v>
      </c>
      <c r="H10" s="41">
        <f>SUM($C$5:C10)</f>
        <v>11040990</v>
      </c>
      <c r="I10" s="41">
        <f>SUM($D$5:D10)</f>
        <v>10138128</v>
      </c>
      <c r="J10" s="40" t="str">
        <f t="shared" si="2"/>
        <v>✅ ON TRACK</v>
      </c>
    </row>
    <row r="11" ht="21.75" customHeight="1" spans="1:10">
      <c r="A11" s="35" t="s">
        <v>38</v>
      </c>
      <c r="B11" s="35">
        <v>7</v>
      </c>
      <c r="C11" s="36">
        <f>SUMIFS('Raw Data'!K:K,'Raw Data'!B:B,A11)</f>
        <v>2324189</v>
      </c>
      <c r="D11" s="36">
        <v>1997388</v>
      </c>
      <c r="E11" s="37">
        <f t="shared" si="0"/>
        <v>326801</v>
      </c>
      <c r="F11" s="38">
        <f t="shared" si="1"/>
        <v>1.16361418011924</v>
      </c>
      <c r="G11" s="38">
        <f t="shared" si="3"/>
        <v>-0.0481902547358308</v>
      </c>
      <c r="H11" s="36">
        <f>SUM($C$5:C11)</f>
        <v>13365179</v>
      </c>
      <c r="I11" s="36">
        <f>SUM($D$5:D11)</f>
        <v>12135516</v>
      </c>
      <c r="J11" s="35" t="str">
        <f t="shared" si="2"/>
        <v>✅ ON TRACK</v>
      </c>
    </row>
    <row r="12" ht="21.75" customHeight="1" spans="1:10">
      <c r="A12" s="40" t="s">
        <v>39</v>
      </c>
      <c r="B12" s="40">
        <v>8</v>
      </c>
      <c r="C12" s="41">
        <f>SUMIFS('Raw Data'!K:K,'Raw Data'!B:B,A12)</f>
        <v>2268199</v>
      </c>
      <c r="D12" s="41">
        <v>2097258</v>
      </c>
      <c r="E12" s="42">
        <f t="shared" si="0"/>
        <v>170941</v>
      </c>
      <c r="F12" s="43">
        <f t="shared" si="1"/>
        <v>1.08150690091539</v>
      </c>
      <c r="G12" s="43">
        <f t="shared" si="3"/>
        <v>-0.024090123479631</v>
      </c>
      <c r="H12" s="41">
        <f>SUM($C$5:C12)</f>
        <v>15633378</v>
      </c>
      <c r="I12" s="41">
        <f>SUM($D$5:D12)</f>
        <v>14232774</v>
      </c>
      <c r="J12" s="40" t="str">
        <f t="shared" si="2"/>
        <v>✅ ON TRACK</v>
      </c>
    </row>
    <row r="13" ht="21.75" customHeight="1" spans="1:10">
      <c r="A13" s="35" t="s">
        <v>40</v>
      </c>
      <c r="B13" s="35">
        <v>9</v>
      </c>
      <c r="C13" s="36">
        <f>SUMIFS('Raw Data'!K:K,'Raw Data'!B:B,A13)</f>
        <v>1972832</v>
      </c>
      <c r="D13" s="36">
        <v>2202121</v>
      </c>
      <c r="E13" s="37">
        <f t="shared" si="0"/>
        <v>-229289</v>
      </c>
      <c r="F13" s="38">
        <f t="shared" si="1"/>
        <v>0.895878110240082</v>
      </c>
      <c r="G13" s="38">
        <f t="shared" si="3"/>
        <v>-0.130220937404522</v>
      </c>
      <c r="H13" s="36">
        <f>SUM($C$5:C13)</f>
        <v>17606210</v>
      </c>
      <c r="I13" s="36">
        <f>SUM($D$5:D13)</f>
        <v>16434895</v>
      </c>
      <c r="J13" s="35" t="str">
        <f t="shared" si="2"/>
        <v>❌ BELOW</v>
      </c>
    </row>
    <row r="14" ht="21.75" customHeight="1" spans="1:10">
      <c r="A14" s="40" t="s">
        <v>41</v>
      </c>
      <c r="B14" s="40">
        <v>10</v>
      </c>
      <c r="C14" s="41">
        <f>SUMIFS('Raw Data'!K:K,'Raw Data'!B:B,A14)</f>
        <v>1850972</v>
      </c>
      <c r="D14" s="41">
        <v>2312227</v>
      </c>
      <c r="E14" s="42">
        <f t="shared" si="0"/>
        <v>-461255</v>
      </c>
      <c r="F14" s="43">
        <f t="shared" si="1"/>
        <v>0.800514828345141</v>
      </c>
      <c r="G14" s="43">
        <f t="shared" si="3"/>
        <v>-0.0617690710612967</v>
      </c>
      <c r="H14" s="41">
        <f>SUM($C$5:C14)</f>
        <v>19457182</v>
      </c>
      <c r="I14" s="41">
        <f>SUM($D$5:D14)</f>
        <v>18747122</v>
      </c>
      <c r="J14" s="40" t="str">
        <f t="shared" si="2"/>
        <v>❌ BELOW</v>
      </c>
    </row>
    <row r="15" ht="21.75" customHeight="1" spans="1:10">
      <c r="A15" s="35" t="s">
        <v>42</v>
      </c>
      <c r="B15" s="35">
        <v>11</v>
      </c>
      <c r="C15" s="36">
        <f>SUMIFS('Raw Data'!K:K,'Raw Data'!B:B,A15)</f>
        <v>1631052</v>
      </c>
      <c r="D15" s="36">
        <v>2427838</v>
      </c>
      <c r="E15" s="37">
        <f t="shared" si="0"/>
        <v>-796786</v>
      </c>
      <c r="F15" s="38">
        <f t="shared" si="1"/>
        <v>0.671812534444226</v>
      </c>
      <c r="G15" s="38">
        <f t="shared" si="3"/>
        <v>-0.118813250551602</v>
      </c>
      <c r="H15" s="36">
        <f>SUM($C$5:C15)</f>
        <v>21088234</v>
      </c>
      <c r="I15" s="36">
        <f>SUM($D$5:D15)</f>
        <v>21174960</v>
      </c>
      <c r="J15" s="35" t="str">
        <f t="shared" si="2"/>
        <v>❌ BELOW</v>
      </c>
    </row>
    <row r="16" ht="21.75" customHeight="1" spans="1:10">
      <c r="A16" s="40" t="s">
        <v>43</v>
      </c>
      <c r="B16" s="40">
        <v>12</v>
      </c>
      <c r="C16" s="41">
        <f>SUMIFS('Raw Data'!K:K,'Raw Data'!B:B,A16)</f>
        <v>1726535</v>
      </c>
      <c r="D16" s="41">
        <v>2549230</v>
      </c>
      <c r="E16" s="42">
        <f t="shared" si="0"/>
        <v>-822695</v>
      </c>
      <c r="F16" s="43">
        <f t="shared" si="1"/>
        <v>0.677277060131883</v>
      </c>
      <c r="G16" s="43">
        <f t="shared" si="3"/>
        <v>0.058540745482057</v>
      </c>
      <c r="H16" s="41">
        <f>SUM($C$5:C16)</f>
        <v>22814769</v>
      </c>
      <c r="I16" s="41">
        <f>SUM($D$5:D16)</f>
        <v>23724190</v>
      </c>
      <c r="J16" s="40" t="str">
        <f t="shared" si="2"/>
        <v>❌ BELOW</v>
      </c>
    </row>
    <row r="17" ht="27.6" spans="1:10">
      <c r="A17" s="44" t="s">
        <v>59</v>
      </c>
      <c r="B17" s="45"/>
      <c r="C17" s="46">
        <f>SUM(C5:C16)</f>
        <v>22814769</v>
      </c>
      <c r="D17" s="46">
        <f>SUM(D5:D16)</f>
        <v>23724190</v>
      </c>
      <c r="E17" s="47">
        <f t="shared" si="0"/>
        <v>-909421</v>
      </c>
      <c r="F17" s="48">
        <f t="shared" si="1"/>
        <v>0.961666931515892</v>
      </c>
      <c r="G17" s="45"/>
      <c r="H17" s="45"/>
      <c r="I17" s="45"/>
      <c r="J17" s="45"/>
    </row>
    <row r="20" ht="24" customHeight="1" spans="1:10">
      <c r="A20" s="3" t="s">
        <v>60</v>
      </c>
      <c r="B20" s="3"/>
      <c r="C20" s="3"/>
      <c r="D20" s="3"/>
      <c r="E20" s="3"/>
      <c r="F20" s="3"/>
    </row>
    <row r="21" ht="25.5" customHeight="1" spans="1:10">
      <c r="A21" s="34" t="s">
        <v>4</v>
      </c>
      <c r="B21" s="34" t="s">
        <v>5</v>
      </c>
      <c r="C21" s="34" t="s">
        <v>61</v>
      </c>
      <c r="D21" s="34" t="s">
        <v>62</v>
      </c>
      <c r="E21" s="34" t="s">
        <v>63</v>
      </c>
      <c r="F21" s="34" t="s">
        <v>64</v>
      </c>
    </row>
    <row r="22" ht="21.75" customHeight="1" spans="1:10">
      <c r="A22" s="49" t="s">
        <v>15</v>
      </c>
      <c r="B22" s="35" t="str">
        <f>IFERROR(_xlfn.XLOOKUP(A22,'Raw Data'!D:D,'Raw Data'!E:E,"N/A",0,1),"N/A")</f>
        <v>ColaMax</v>
      </c>
      <c r="C22" s="36">
        <f>SUMIF('Raw Data'!D:D,A22,'Raw Data'!K:K)</f>
        <v>4044721</v>
      </c>
      <c r="D22" s="38">
        <f t="shared" ref="D22:D27" si="4">IFERROR(C22/SUM($C$22:$C$27),0)</f>
        <v>0.177285205035387</v>
      </c>
      <c r="E22" s="35">
        <f t="shared" ref="E22:E27" si="5">RANK(C22,$C$22:$C$27,0)</f>
        <v>3</v>
      </c>
      <c r="F22" s="50" t="s">
        <v>65</v>
      </c>
    </row>
    <row r="23" ht="21.75" customHeight="1" spans="1:10">
      <c r="A23" s="51" t="s">
        <v>23</v>
      </c>
      <c r="B23" s="40" t="str">
        <f>IFERROR(_xlfn.XLOOKUP(A23,'Raw Data'!D:D,'Raw Data'!E:E,"N/A",0,1),"N/A")</f>
        <v>Monster</v>
      </c>
      <c r="C23" s="41">
        <f>SUMIF('Raw Data'!D:D,A23,'Raw Data'!K:K)</f>
        <v>5735312</v>
      </c>
      <c r="D23" s="43">
        <f t="shared" si="4"/>
        <v>0.251385933383766</v>
      </c>
      <c r="E23" s="40">
        <f t="shared" si="5"/>
        <v>1</v>
      </c>
      <c r="F23" s="52" t="s">
        <v>66</v>
      </c>
    </row>
    <row r="24" ht="21.75" customHeight="1" spans="1:10">
      <c r="A24" s="49" t="s">
        <v>25</v>
      </c>
      <c r="B24" s="35" t="str">
        <f>IFERROR(_xlfn.XLOOKUP(A24,'Raw Data'!D:D,'Raw Data'!E:E,"N/A",0,1),"N/A")</f>
        <v>Tropika</v>
      </c>
      <c r="C24" s="36">
        <f>SUMIF('Raw Data'!D:D,A24,'Raw Data'!K:K)</f>
        <v>4472348</v>
      </c>
      <c r="D24" s="38">
        <f t="shared" si="4"/>
        <v>0.19602863390815</v>
      </c>
      <c r="E24" s="35">
        <f t="shared" si="5"/>
        <v>2</v>
      </c>
      <c r="F24" s="50" t="s">
        <v>65</v>
      </c>
    </row>
    <row r="25" ht="21.75" customHeight="1" spans="1:10">
      <c r="A25" s="51" t="s">
        <v>27</v>
      </c>
      <c r="B25" s="40" t="str">
        <f>IFERROR(_xlfn.XLOOKUP(A25,'Raw Data'!D:D,'Raw Data'!E:E,"N/A",0,1),"N/A")</f>
        <v>AquaPure</v>
      </c>
      <c r="C25" s="41">
        <f>SUMIF('Raw Data'!D:D,A25,'Raw Data'!K:K)</f>
        <v>2830237</v>
      </c>
      <c r="D25" s="43">
        <f t="shared" si="4"/>
        <v>0.124052844891833</v>
      </c>
      <c r="E25" s="40">
        <f t="shared" si="5"/>
        <v>5</v>
      </c>
      <c r="F25" s="53" t="s">
        <v>65</v>
      </c>
    </row>
    <row r="26" ht="21.75" customHeight="1" spans="1:10">
      <c r="A26" s="49" t="s">
        <v>29</v>
      </c>
      <c r="B26" s="35" t="str">
        <f>IFERROR(_xlfn.XLOOKUP(A26,'Raw Data'!D:D,'Raw Data'!E:E,"N/A",0,1),"N/A")</f>
        <v>PowerX</v>
      </c>
      <c r="C26" s="36">
        <f>SUMIF('Raw Data'!D:D,A26,'Raw Data'!K:K)</f>
        <v>3223710</v>
      </c>
      <c r="D26" s="38">
        <f t="shared" si="4"/>
        <v>0.141299261018159</v>
      </c>
      <c r="E26" s="35">
        <f t="shared" si="5"/>
        <v>4</v>
      </c>
      <c r="F26" s="54" t="s">
        <v>66</v>
      </c>
    </row>
    <row r="27" ht="21.75" customHeight="1" spans="1:10">
      <c r="A27" s="51" t="s">
        <v>31</v>
      </c>
      <c r="B27" s="40" t="str">
        <f>IFERROR(_xlfn.XLOOKUP(A27,'Raw Data'!D:D,'Raw Data'!E:E,"N/A",0,1),"N/A")</f>
        <v>TeaLeaf</v>
      </c>
      <c r="C27" s="41">
        <f>SUMIF('Raw Data'!D:D,A27,'Raw Data'!K:K)</f>
        <v>2508441</v>
      </c>
      <c r="D27" s="43">
        <f t="shared" si="4"/>
        <v>0.109948121762706</v>
      </c>
      <c r="E27" s="40">
        <f t="shared" si="5"/>
        <v>6</v>
      </c>
      <c r="F27" s="55" t="s">
        <v>67</v>
      </c>
    </row>
  </sheetData>
  <mergeCells count="3">
    <mergeCell ref="A1:J1"/>
    <mergeCell ref="A3:J3"/>
    <mergeCell ref="A20:F20"/>
  </mergeCells>
  <conditionalFormatting sqref="F5:F16">
    <cfRule type="cellIs" priority="5" operator="greaterThanOrEqual">
      <formula>1</formula>
    </cfRule>
    <cfRule type="cellIs" dxfId="0" priority="2" operator="greaterThanOrEqual">
      <formula>1</formula>
    </cfRule>
    <cfRule type="cellIs" dxfId="1" priority="3" operator="between">
      <formula>0.92</formula>
      <formula>1</formula>
    </cfRule>
    <cfRule type="cellIs" dxfId="2" priority="4" operator="lessThan">
      <formula>0.92</formula>
    </cfRule>
  </conditionalFormatting>
  <conditionalFormatting sqref="G6: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CC71"/>
  </sheetPr>
  <dimension ref="A1:U106"/>
  <sheetViews>
    <sheetView showGridLines="0" topLeftCell="H18" workbookViewId="0">
      <selection activeCell="W45" sqref="W45"/>
    </sheetView>
  </sheetViews>
  <sheetFormatPr defaultColWidth="8.67592592592593" defaultRowHeight="14.4"/>
  <cols>
    <col min="1" max="1" width="10.6481481481481" customWidth="1"/>
    <col min="2" max="2" width="14.537037037037" customWidth="1"/>
    <col min="3" max="3" width="19.462962962963" customWidth="1"/>
    <col min="4" max="4" width="15.1111111111111" customWidth="1"/>
    <col min="5" max="10" width="12" customWidth="1"/>
    <col min="11" max="11" width="18.2037037037037" customWidth="1"/>
    <col min="12" max="21" width="12" customWidth="1"/>
  </cols>
  <sheetData>
    <row r="1" ht="36" customHeight="1" spans="1:21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6"/>
    </row>
    <row r="2" ht="18" customHeight="1" spans="1:21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6"/>
    </row>
    <row r="3" ht="9.75" customHeight="1"/>
    <row r="4" ht="7.5" customHeight="1" spans="1:21">
      <c r="B4" s="17"/>
      <c r="C4" s="17"/>
      <c r="D4" s="17"/>
      <c r="E4" s="17"/>
      <c r="F4" s="18"/>
      <c r="G4" s="18"/>
      <c r="H4" s="18"/>
      <c r="I4" s="18"/>
      <c r="J4" s="19"/>
      <c r="K4" s="19"/>
      <c r="L4" s="19"/>
      <c r="M4" s="19"/>
      <c r="N4" s="19"/>
      <c r="O4" s="19"/>
      <c r="P4" s="19"/>
      <c r="Q4" s="19"/>
      <c r="R4" s="17"/>
      <c r="S4" s="17"/>
      <c r="T4" s="17"/>
      <c r="U4" s="17"/>
    </row>
    <row r="5" ht="18" customHeight="1" spans="1:21">
      <c r="B5" s="20" t="s">
        <v>70</v>
      </c>
      <c r="C5" s="20"/>
      <c r="D5" s="20"/>
      <c r="E5" s="20"/>
      <c r="F5" s="20" t="s">
        <v>71</v>
      </c>
      <c r="G5" s="20"/>
      <c r="H5" s="20"/>
      <c r="I5" s="20"/>
      <c r="J5" s="20" t="s">
        <v>72</v>
      </c>
      <c r="K5" s="20"/>
      <c r="L5" s="20"/>
      <c r="M5" s="20"/>
      <c r="N5" s="20" t="s">
        <v>73</v>
      </c>
      <c r="O5" s="20"/>
      <c r="P5" s="20"/>
      <c r="Q5" s="20"/>
      <c r="R5" s="20" t="s">
        <v>74</v>
      </c>
      <c r="S5" s="20"/>
      <c r="T5" s="20"/>
      <c r="U5" s="20"/>
    </row>
    <row r="6" ht="27.75" customHeight="1" spans="1:21">
      <c r="B6" s="21">
        <f>SUMIF('Raw Data'!D:D,"Cola",'Raw Data'!K:K)+SUMIF('Raw Data'!D:D,"Energy Drink",'Raw Data'!K:K)+SUMIF('Raw Data'!D:D,"Juice",'Raw Data'!K:K)+SUMIF('Raw Data'!D:D,"Water",'Raw Data'!K:K)+SUMIF('Raw Data'!D:D,"Sports Drink",'Raw Data'!K:K)+SUMIF('Raw Data'!D:D,"Tea",'Raw Data'!K:K)</f>
        <v>22814769</v>
      </c>
      <c r="C6" s="21"/>
      <c r="D6" s="21"/>
      <c r="E6" s="21"/>
      <c r="F6" s="22" t="s">
        <v>23</v>
      </c>
      <c r="G6" s="22"/>
      <c r="H6" s="22"/>
      <c r="I6" s="22"/>
      <c r="J6" s="23" t="s">
        <v>24</v>
      </c>
      <c r="K6" s="23"/>
      <c r="L6" s="23"/>
      <c r="M6" s="23"/>
      <c r="N6" s="24">
        <f>'KPI Tracker'!F17</f>
        <v>0.961666931515892</v>
      </c>
      <c r="O6" s="24"/>
      <c r="P6" s="24"/>
      <c r="Q6" s="24"/>
      <c r="R6" s="25" t="s">
        <v>75</v>
      </c>
      <c r="S6" s="25"/>
      <c r="T6" s="25"/>
      <c r="U6" s="25"/>
    </row>
    <row r="7" ht="18" customHeight="1" spans="1:21">
      <c r="B7" s="26" t="s">
        <v>76</v>
      </c>
      <c r="C7" s="26"/>
      <c r="D7" s="26"/>
      <c r="E7" s="26"/>
      <c r="F7" s="26" t="s">
        <v>77</v>
      </c>
      <c r="G7" s="26"/>
      <c r="H7" s="26"/>
      <c r="I7" s="26"/>
      <c r="J7" s="26" t="s">
        <v>78</v>
      </c>
      <c r="K7" s="26"/>
      <c r="L7" s="26"/>
      <c r="M7" s="26"/>
      <c r="N7" s="26" t="s">
        <v>79</v>
      </c>
      <c r="O7" s="26"/>
      <c r="P7" s="26"/>
      <c r="Q7" s="26"/>
      <c r="R7" s="26" t="s">
        <v>80</v>
      </c>
      <c r="S7" s="26"/>
      <c r="T7" s="26"/>
      <c r="U7" s="26"/>
    </row>
    <row r="8" ht="9.75" customHeight="1" spans="1:21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ht="12" customHeight="1"/>
    <row r="70" spans="1:10">
      <c r="A70" s="28" t="s">
        <v>2</v>
      </c>
      <c r="B70" s="28" t="s">
        <v>61</v>
      </c>
      <c r="C70" s="28" t="s">
        <v>81</v>
      </c>
      <c r="D70" s="28" t="s">
        <v>55</v>
      </c>
      <c r="F70" s="28" t="s">
        <v>82</v>
      </c>
      <c r="G70" s="28" t="s">
        <v>83</v>
      </c>
      <c r="I70" s="28" t="s">
        <v>6</v>
      </c>
      <c r="J70" s="28" t="s">
        <v>83</v>
      </c>
    </row>
    <row r="71" spans="1:10">
      <c r="A71" s="28" t="str">
        <f>'KPI Tracker'!A5</f>
        <v>Jan-23</v>
      </c>
      <c r="B71" s="29">
        <f>'KPI Tracker'!C5</f>
        <v>1490482</v>
      </c>
      <c r="C71" s="29">
        <f>'KPI Tracker'!D5</f>
        <v>1490482</v>
      </c>
      <c r="D71" s="28">
        <v>0</v>
      </c>
      <c r="F71" s="30" t="s">
        <v>15</v>
      </c>
      <c r="G71" s="29">
        <f>SUMIF('Raw Data'!D:D,F71,'Raw Data'!K:K)</f>
        <v>4044721</v>
      </c>
      <c r="I71" s="30" t="s">
        <v>17</v>
      </c>
      <c r="J71" s="29">
        <f>SUMIF('Raw Data'!F:F,"North India",'Raw Data'!K:K)</f>
        <v>6055206</v>
      </c>
    </row>
    <row r="72" spans="1:10">
      <c r="A72" s="28" t="str">
        <f>'KPI Tracker'!A6</f>
        <v>Feb-23</v>
      </c>
      <c r="B72" s="29">
        <f>'KPI Tracker'!C6</f>
        <v>1455079</v>
      </c>
      <c r="C72" s="29">
        <f>'KPI Tracker'!D6</f>
        <v>1565006</v>
      </c>
      <c r="D72" s="31">
        <f>'KPI Tracker'!G6</f>
        <v>-0.0237527189191148</v>
      </c>
      <c r="F72" s="30" t="s">
        <v>23</v>
      </c>
      <c r="G72" s="29">
        <f>SUMIF('Raw Data'!D:D,F72,'Raw Data'!K:K)</f>
        <v>5735312</v>
      </c>
      <c r="I72" s="30" t="s">
        <v>19</v>
      </c>
      <c r="J72" s="29">
        <f>SUMIF('Raw Data'!F:F,I72,'Raw Data'!K:K)</f>
        <v>6135960</v>
      </c>
    </row>
    <row r="73" spans="1:10">
      <c r="A73" s="28" t="str">
        <f>'KPI Tracker'!A7</f>
        <v>Mar-23</v>
      </c>
      <c r="B73" s="29">
        <f>'KPI Tracker'!C7</f>
        <v>1644055</v>
      </c>
      <c r="C73" s="29">
        <f>'KPI Tracker'!D7</f>
        <v>1643256</v>
      </c>
      <c r="D73" s="31">
        <f>'KPI Tracker'!G7</f>
        <v>0.129873360827831</v>
      </c>
      <c r="F73" s="30" t="s">
        <v>25</v>
      </c>
      <c r="G73" s="29">
        <f>SUMIF('Raw Data'!D:D,F73,'Raw Data'!K:K)</f>
        <v>4472348</v>
      </c>
      <c r="I73" s="30" t="s">
        <v>20</v>
      </c>
      <c r="J73" s="29">
        <f>SUMIF('Raw Data'!F:F,I73,'Raw Data'!K:K)</f>
        <v>4799750</v>
      </c>
    </row>
    <row r="74" spans="1:10">
      <c r="A74" s="28" t="str">
        <f>'KPI Tracker'!A8</f>
        <v>Apr-23</v>
      </c>
      <c r="B74" s="29">
        <f>'KPI Tracker'!C8</f>
        <v>1869669</v>
      </c>
      <c r="C74" s="29">
        <f>'KPI Tracker'!D8</f>
        <v>1725419</v>
      </c>
      <c r="D74" s="31">
        <f>'KPI Tracker'!G8</f>
        <v>0.137230202152604</v>
      </c>
      <c r="F74" s="30" t="s">
        <v>27</v>
      </c>
      <c r="G74" s="29">
        <f>SUMIF('Raw Data'!D:D,F74,'Raw Data'!K:K)</f>
        <v>2830237</v>
      </c>
      <c r="I74" s="30" t="s">
        <v>21</v>
      </c>
      <c r="J74" s="29">
        <f>SUMIF('Raw Data'!F:F,I74,'Raw Data'!K:K)</f>
        <v>5823853</v>
      </c>
    </row>
    <row r="75" spans="1:10">
      <c r="A75" s="28" t="str">
        <f>'KPI Tracker'!A9</f>
        <v>May-23</v>
      </c>
      <c r="B75" s="29">
        <f>'KPI Tracker'!C9</f>
        <v>2139842</v>
      </c>
      <c r="C75" s="29">
        <f>'KPI Tracker'!D9</f>
        <v>1811690</v>
      </c>
      <c r="D75" s="31">
        <f>'KPI Tracker'!G9</f>
        <v>0.14450311793157</v>
      </c>
      <c r="F75" s="30" t="s">
        <v>29</v>
      </c>
      <c r="G75" s="29">
        <f>SUMIF('Raw Data'!D:D,F75,'Raw Data'!K:K)</f>
        <v>3223710</v>
      </c>
    </row>
    <row r="76" spans="1:10">
      <c r="A76" s="28" t="str">
        <f>'KPI Tracker'!A10</f>
        <v>Jun-23</v>
      </c>
      <c r="B76" s="29">
        <f>'KPI Tracker'!C10</f>
        <v>2441863</v>
      </c>
      <c r="C76" s="29">
        <f>'KPI Tracker'!D10</f>
        <v>1902275</v>
      </c>
      <c r="D76" s="31">
        <f>'KPI Tracker'!G10</f>
        <v>0.141141729155704</v>
      </c>
      <c r="F76" s="30" t="s">
        <v>31</v>
      </c>
      <c r="G76" s="29">
        <f>SUMIF('Raw Data'!D:D,F76,'Raw Data'!K:K)</f>
        <v>2508441</v>
      </c>
    </row>
    <row r="77" spans="1:10">
      <c r="A77" s="28" t="str">
        <f>'KPI Tracker'!A11</f>
        <v>Jul-23</v>
      </c>
      <c r="B77" s="29">
        <f>'KPI Tracker'!C11</f>
        <v>2324189</v>
      </c>
      <c r="C77" s="29">
        <f>'KPI Tracker'!D11</f>
        <v>1997388</v>
      </c>
      <c r="D77" s="31">
        <f>'KPI Tracker'!G11</f>
        <v>-0.0481902547358308</v>
      </c>
    </row>
    <row r="78" spans="1:10">
      <c r="A78" s="28" t="str">
        <f>'KPI Tracker'!A12</f>
        <v>Aug-23</v>
      </c>
      <c r="B78" s="29">
        <f>'KPI Tracker'!C12</f>
        <v>2268199</v>
      </c>
      <c r="C78" s="29">
        <f>'KPI Tracker'!D12</f>
        <v>2097258</v>
      </c>
      <c r="D78" s="31">
        <f>'KPI Tracker'!G12</f>
        <v>-0.024090123479631</v>
      </c>
    </row>
    <row r="79" spans="1:10">
      <c r="A79" s="28" t="str">
        <f>'KPI Tracker'!A13</f>
        <v>Sep-23</v>
      </c>
      <c r="B79" s="29">
        <f>'KPI Tracker'!C13</f>
        <v>1972832</v>
      </c>
      <c r="C79" s="29">
        <f>'KPI Tracker'!D13</f>
        <v>2202121</v>
      </c>
      <c r="D79" s="31">
        <f>'KPI Tracker'!G13</f>
        <v>-0.130220937404522</v>
      </c>
    </row>
    <row r="80" spans="1:10">
      <c r="A80" s="28" t="str">
        <f>'KPI Tracker'!A14</f>
        <v>Oct-23</v>
      </c>
      <c r="B80" s="29">
        <f>'KPI Tracker'!C14</f>
        <v>1850972</v>
      </c>
      <c r="C80" s="29">
        <f>'KPI Tracker'!D14</f>
        <v>2312227</v>
      </c>
      <c r="D80" s="31">
        <f>'KPI Tracker'!G14</f>
        <v>-0.0617690710612967</v>
      </c>
    </row>
    <row r="81" spans="1:11">
      <c r="A81" s="28" t="str">
        <f>'KPI Tracker'!A15</f>
        <v>Nov-23</v>
      </c>
      <c r="B81" s="29">
        <f>'KPI Tracker'!C15</f>
        <v>1631052</v>
      </c>
      <c r="C81" s="29">
        <f>'KPI Tracker'!D15</f>
        <v>2427838</v>
      </c>
      <c r="D81" s="31">
        <f>'KPI Tracker'!G15</f>
        <v>-0.118813250551602</v>
      </c>
    </row>
    <row r="82" spans="1:11">
      <c r="A82" s="28" t="str">
        <f>'KPI Tracker'!A16</f>
        <v>Dec-23</v>
      </c>
      <c r="B82" s="29">
        <f>'KPI Tracker'!C16</f>
        <v>1726535</v>
      </c>
      <c r="C82" s="29">
        <f>'KPI Tracker'!D16</f>
        <v>2549230</v>
      </c>
      <c r="D82" s="31">
        <f>'KPI Tracker'!G16</f>
        <v>0.058540745482057</v>
      </c>
    </row>
    <row r="85" spans="1:11">
      <c r="A85" s="28" t="s">
        <v>2</v>
      </c>
      <c r="B85" s="28" t="s">
        <v>15</v>
      </c>
      <c r="C85" s="28" t="s">
        <v>23</v>
      </c>
      <c r="D85" s="28" t="s">
        <v>84</v>
      </c>
      <c r="E85" s="28" t="s">
        <v>27</v>
      </c>
      <c r="F85" s="28" t="s">
        <v>29</v>
      </c>
      <c r="G85" s="28" t="s">
        <v>31</v>
      </c>
      <c r="I85" s="28" t="s">
        <v>82</v>
      </c>
      <c r="J85" s="28" t="s">
        <v>85</v>
      </c>
      <c r="K85" s="28" t="s">
        <v>86</v>
      </c>
    </row>
    <row r="86" spans="1:11">
      <c r="A86" s="28" t="s">
        <v>14</v>
      </c>
      <c r="B86" s="29">
        <v>261077</v>
      </c>
      <c r="C86" s="29">
        <v>397000</v>
      </c>
      <c r="D86" s="29">
        <v>284656</v>
      </c>
      <c r="E86" s="29">
        <v>179071</v>
      </c>
      <c r="F86" s="29">
        <v>203373</v>
      </c>
      <c r="G86" s="29">
        <v>165305</v>
      </c>
      <c r="I86" s="28" t="s">
        <v>15</v>
      </c>
      <c r="J86" s="29">
        <v>750586</v>
      </c>
      <c r="K86" s="29">
        <v>3294135</v>
      </c>
    </row>
    <row r="87" spans="1:11">
      <c r="A87" s="28" t="s">
        <v>33</v>
      </c>
      <c r="B87" s="29">
        <v>272340</v>
      </c>
      <c r="C87" s="29">
        <v>351750</v>
      </c>
      <c r="D87" s="29">
        <v>292880</v>
      </c>
      <c r="E87" s="29">
        <v>185924</v>
      </c>
      <c r="F87" s="29">
        <v>193635</v>
      </c>
      <c r="G87" s="29">
        <v>158550</v>
      </c>
      <c r="I87" s="28" t="s">
        <v>23</v>
      </c>
      <c r="J87" s="29">
        <v>619437</v>
      </c>
      <c r="K87" s="29">
        <v>5115875</v>
      </c>
    </row>
    <row r="88" spans="1:11">
      <c r="A88" s="28" t="s">
        <v>34</v>
      </c>
      <c r="B88" s="29">
        <v>301275</v>
      </c>
      <c r="C88" s="29">
        <v>398100</v>
      </c>
      <c r="D88" s="29">
        <v>303532</v>
      </c>
      <c r="E88" s="29">
        <v>208888</v>
      </c>
      <c r="F88" s="29">
        <v>250470</v>
      </c>
      <c r="G88" s="29">
        <v>181790</v>
      </c>
      <c r="I88" s="28" t="s">
        <v>25</v>
      </c>
      <c r="J88" s="29">
        <v>880268</v>
      </c>
      <c r="K88" s="29">
        <v>3592080</v>
      </c>
    </row>
    <row r="89" spans="1:11">
      <c r="A89" s="28" t="s">
        <v>35</v>
      </c>
      <c r="B89" s="29">
        <v>332233</v>
      </c>
      <c r="C89" s="29">
        <v>475125</v>
      </c>
      <c r="D89" s="29">
        <v>361084</v>
      </c>
      <c r="E89" s="29">
        <v>237629</v>
      </c>
      <c r="F89" s="29">
        <v>250704</v>
      </c>
      <c r="G89" s="29">
        <v>212894</v>
      </c>
      <c r="I89" s="28" t="s">
        <v>27</v>
      </c>
      <c r="J89" s="29">
        <v>336262</v>
      </c>
      <c r="K89" s="29">
        <v>2493975</v>
      </c>
    </row>
    <row r="90" spans="1:11">
      <c r="A90" s="28" t="s">
        <v>36</v>
      </c>
      <c r="B90" s="29">
        <v>402435</v>
      </c>
      <c r="C90" s="29">
        <v>522075</v>
      </c>
      <c r="D90" s="29">
        <v>419840</v>
      </c>
      <c r="E90" s="29">
        <v>255239</v>
      </c>
      <c r="F90" s="29">
        <v>308700</v>
      </c>
      <c r="G90" s="29">
        <v>231553</v>
      </c>
      <c r="I90" s="28" t="s">
        <v>29</v>
      </c>
      <c r="J90" s="29">
        <v>477990</v>
      </c>
      <c r="K90" s="29">
        <v>2745720</v>
      </c>
    </row>
    <row r="91" spans="1:11">
      <c r="A91" s="28" t="s">
        <v>37</v>
      </c>
      <c r="B91" s="29">
        <v>398720</v>
      </c>
      <c r="C91" s="29">
        <v>629025</v>
      </c>
      <c r="D91" s="29">
        <v>475220</v>
      </c>
      <c r="E91" s="29">
        <v>329025</v>
      </c>
      <c r="F91" s="29">
        <v>348552</v>
      </c>
      <c r="G91" s="29">
        <v>261321</v>
      </c>
      <c r="I91" s="28" t="s">
        <v>31</v>
      </c>
      <c r="J91" s="29">
        <v>530766</v>
      </c>
      <c r="K91" s="29">
        <v>1977675</v>
      </c>
    </row>
    <row r="92" spans="1:11">
      <c r="A92" s="28" t="s">
        <v>38</v>
      </c>
      <c r="B92" s="29">
        <v>383301</v>
      </c>
      <c r="C92" s="29">
        <v>579375</v>
      </c>
      <c r="D92" s="29">
        <v>500960</v>
      </c>
      <c r="E92" s="29">
        <v>288175</v>
      </c>
      <c r="F92" s="29">
        <v>322020</v>
      </c>
      <c r="G92" s="29">
        <v>250358</v>
      </c>
    </row>
    <row r="93" spans="1:11">
      <c r="A93" s="28" t="s">
        <v>39</v>
      </c>
      <c r="B93" s="29">
        <v>426555</v>
      </c>
      <c r="C93" s="29">
        <v>582625</v>
      </c>
      <c r="D93" s="29">
        <v>420364</v>
      </c>
      <c r="E93" s="29">
        <v>276700</v>
      </c>
      <c r="F93" s="29">
        <v>322380</v>
      </c>
      <c r="G93" s="29">
        <v>239575</v>
      </c>
    </row>
    <row r="94" spans="1:11">
      <c r="A94" s="28" t="s">
        <v>40</v>
      </c>
      <c r="B94" s="29">
        <v>360720</v>
      </c>
      <c r="C94" s="29">
        <v>503500</v>
      </c>
      <c r="D94" s="29">
        <v>375060</v>
      </c>
      <c r="E94" s="29">
        <v>231211</v>
      </c>
      <c r="F94" s="29">
        <v>278766</v>
      </c>
      <c r="G94" s="29">
        <v>223575</v>
      </c>
    </row>
    <row r="95" spans="1:11">
      <c r="A95" s="28" t="s">
        <v>41</v>
      </c>
      <c r="B95" s="29">
        <v>331105</v>
      </c>
      <c r="C95" s="29">
        <v>451737</v>
      </c>
      <c r="D95" s="29">
        <v>375320</v>
      </c>
      <c r="E95" s="29">
        <v>218450</v>
      </c>
      <c r="F95" s="29">
        <v>258480</v>
      </c>
      <c r="G95" s="29">
        <v>215880</v>
      </c>
    </row>
    <row r="96" spans="1:11">
      <c r="A96" s="28" t="s">
        <v>42</v>
      </c>
      <c r="B96" s="29">
        <v>267862</v>
      </c>
      <c r="C96" s="29">
        <v>403500</v>
      </c>
      <c r="D96" s="29">
        <v>346640</v>
      </c>
      <c r="E96" s="29">
        <v>198375</v>
      </c>
      <c r="F96" s="29">
        <v>235440</v>
      </c>
      <c r="G96" s="29">
        <v>179235</v>
      </c>
    </row>
    <row r="97" spans="1:7">
      <c r="A97" s="28" t="s">
        <v>43</v>
      </c>
      <c r="B97" s="29">
        <v>307098</v>
      </c>
      <c r="C97" s="29">
        <v>441500</v>
      </c>
      <c r="D97" s="29">
        <v>316792</v>
      </c>
      <c r="E97" s="29">
        <v>221550</v>
      </c>
      <c r="F97" s="29">
        <v>251190</v>
      </c>
      <c r="G97" s="29">
        <v>188405</v>
      </c>
    </row>
    <row r="100" spans="1:7">
      <c r="D100" s="32"/>
    </row>
    <row r="101" spans="1:7">
      <c r="D101" s="32"/>
    </row>
    <row r="102" spans="1:7">
      <c r="D102" s="32"/>
    </row>
    <row r="103" spans="1:7">
      <c r="D103" s="32"/>
    </row>
    <row r="104" spans="1:7">
      <c r="D104" s="32"/>
    </row>
    <row r="105" spans="1:7">
      <c r="D105" s="32"/>
    </row>
    <row r="106" spans="1:7">
      <c r="D106" s="32"/>
    </row>
  </sheetData>
  <mergeCells count="17">
    <mergeCell ref="A1:T1"/>
    <mergeCell ref="A2:T2"/>
    <mergeCell ref="B5:E5"/>
    <mergeCell ref="F5:I5"/>
    <mergeCell ref="J5:M5"/>
    <mergeCell ref="N5:Q5"/>
    <mergeCell ref="R5:U5"/>
    <mergeCell ref="B6:E6"/>
    <mergeCell ref="F6:I6"/>
    <mergeCell ref="J6:M6"/>
    <mergeCell ref="N6:Q6"/>
    <mergeCell ref="R6:U6"/>
    <mergeCell ref="B7:E7"/>
    <mergeCell ref="F7:I7"/>
    <mergeCell ref="J7:M7"/>
    <mergeCell ref="N7:Q7"/>
    <mergeCell ref="R7:U7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4C3C"/>
  </sheetPr>
  <dimension ref="A1:K42"/>
  <sheetViews>
    <sheetView showGridLines="0" workbookViewId="0">
      <selection activeCell="A2" sqref="A2:K2"/>
    </sheetView>
  </sheetViews>
  <sheetFormatPr defaultColWidth="8.67592592592593" defaultRowHeight="14.4"/>
  <cols>
    <col min="1" max="1" width="6" customWidth="1"/>
    <col min="2" max="2" width="85" customWidth="1"/>
    <col min="3" max="11" width="13" customWidth="1"/>
  </cols>
  <sheetData>
    <row r="1" ht="36" customHeight="1" spans="1:1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2" customHeight="1"/>
    <row r="4" ht="25.5" customHeight="1" spans="1:11">
      <c r="A4" s="3" t="s">
        <v>89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7.5" customHeight="1"/>
    <row r="6" ht="27.75" customHeight="1" spans="1:11">
      <c r="A6" s="4" t="s">
        <v>90</v>
      </c>
      <c r="B6" s="5" t="s">
        <v>91</v>
      </c>
      <c r="C6" s="5"/>
      <c r="D6" s="5"/>
      <c r="E6" s="5"/>
      <c r="F6" s="5"/>
      <c r="G6" s="5"/>
      <c r="H6" s="5"/>
      <c r="I6" s="5"/>
      <c r="J6" s="5"/>
    </row>
    <row r="7" ht="18" customHeight="1" spans="1:11">
      <c r="A7" s="4"/>
      <c r="B7" s="6" t="s">
        <v>92</v>
      </c>
      <c r="C7" s="6"/>
      <c r="D7" s="6"/>
      <c r="E7" s="6"/>
      <c r="F7" s="6"/>
      <c r="G7" s="6"/>
      <c r="H7" s="6"/>
      <c r="I7" s="6"/>
      <c r="J7" s="6"/>
    </row>
    <row r="8" ht="18" customHeight="1" spans="1:11">
      <c r="A8" s="4"/>
      <c r="B8" s="4"/>
      <c r="C8" s="6"/>
      <c r="D8" s="6"/>
      <c r="E8" s="6"/>
      <c r="F8" s="6"/>
      <c r="G8" s="6"/>
      <c r="H8" s="6"/>
      <c r="I8" s="6"/>
      <c r="J8" s="6"/>
    </row>
    <row r="9" ht="18" customHeight="1" spans="1:11">
      <c r="A9" s="4"/>
      <c r="B9" s="4"/>
      <c r="C9" s="6"/>
      <c r="D9" s="6"/>
      <c r="E9" s="6"/>
      <c r="F9" s="6"/>
      <c r="G9" s="6"/>
      <c r="H9" s="6"/>
      <c r="I9" s="6"/>
      <c r="J9" s="6"/>
    </row>
    <row r="10" ht="18" customHeight="1" spans="1:11">
      <c r="A10" s="4"/>
      <c r="B10" s="4"/>
      <c r="C10" s="6"/>
      <c r="D10" s="6"/>
      <c r="E10" s="6"/>
      <c r="F10" s="6"/>
      <c r="G10" s="6"/>
      <c r="H10" s="6"/>
      <c r="I10" s="6"/>
      <c r="J10" s="6"/>
    </row>
    <row r="12" ht="7.5" customHeight="1"/>
    <row r="13" ht="27.75" customHeight="1" spans="1:11">
      <c r="A13" s="7" t="s">
        <v>93</v>
      </c>
      <c r="B13" s="8" t="s">
        <v>94</v>
      </c>
      <c r="C13" s="8"/>
      <c r="D13" s="8"/>
      <c r="E13" s="8"/>
      <c r="F13" s="8"/>
      <c r="G13" s="8"/>
      <c r="H13" s="8"/>
      <c r="I13" s="8"/>
      <c r="J13" s="8"/>
    </row>
    <row r="14" ht="18" customHeight="1" spans="1:11">
      <c r="A14" s="7"/>
      <c r="B14" s="6" t="s">
        <v>95</v>
      </c>
      <c r="C14" s="6"/>
      <c r="D14" s="6"/>
      <c r="E14" s="6"/>
      <c r="F14" s="6"/>
      <c r="G14" s="6"/>
      <c r="H14" s="6"/>
      <c r="I14" s="6"/>
      <c r="J14" s="6"/>
    </row>
    <row r="15" ht="18" customHeight="1" spans="1:11">
      <c r="A15" s="7"/>
      <c r="B15" s="7"/>
      <c r="C15" s="6"/>
      <c r="D15" s="6"/>
      <c r="E15" s="6"/>
      <c r="F15" s="6"/>
      <c r="G15" s="6"/>
      <c r="H15" s="6"/>
      <c r="I15" s="6"/>
      <c r="J15" s="6"/>
    </row>
    <row r="16" ht="18" customHeight="1" spans="1:11">
      <c r="A16" s="7"/>
      <c r="B16" s="7"/>
      <c r="C16" s="6"/>
      <c r="D16" s="6"/>
      <c r="E16" s="6"/>
      <c r="F16" s="6"/>
      <c r="G16" s="6"/>
      <c r="H16" s="6"/>
      <c r="I16" s="6"/>
      <c r="J16" s="6"/>
    </row>
    <row r="17" ht="18" customHeight="1" spans="1:10">
      <c r="A17" s="7"/>
      <c r="B17" s="7"/>
      <c r="C17" s="6"/>
      <c r="D17" s="6"/>
      <c r="E17" s="6"/>
      <c r="F17" s="6"/>
      <c r="G17" s="6"/>
      <c r="H17" s="6"/>
      <c r="I17" s="6"/>
      <c r="J17" s="6"/>
    </row>
    <row r="19" ht="7.5" customHeight="1"/>
    <row r="20" ht="27.75" customHeight="1" spans="1:10">
      <c r="A20" s="9" t="s">
        <v>96</v>
      </c>
      <c r="B20" s="10" t="s">
        <v>97</v>
      </c>
      <c r="C20" s="10"/>
      <c r="D20" s="10"/>
      <c r="E20" s="10"/>
      <c r="F20" s="10"/>
      <c r="G20" s="10"/>
      <c r="H20" s="10"/>
      <c r="I20" s="10"/>
      <c r="J20" s="10"/>
    </row>
    <row r="21" ht="18" customHeight="1" spans="1:10">
      <c r="A21" s="9"/>
      <c r="B21" s="6" t="s">
        <v>98</v>
      </c>
      <c r="C21" s="6"/>
      <c r="D21" s="6"/>
      <c r="E21" s="6"/>
      <c r="F21" s="6"/>
      <c r="G21" s="6"/>
      <c r="H21" s="6"/>
      <c r="I21" s="6"/>
      <c r="J21" s="6"/>
    </row>
    <row r="22" ht="18" customHeight="1" spans="1:10">
      <c r="A22" s="9"/>
      <c r="B22" s="9"/>
      <c r="C22" s="6"/>
      <c r="D22" s="6"/>
      <c r="E22" s="6"/>
      <c r="F22" s="6"/>
      <c r="G22" s="6"/>
      <c r="H22" s="6"/>
      <c r="I22" s="6"/>
      <c r="J22" s="6"/>
    </row>
    <row r="23" ht="18" customHeight="1" spans="1:10">
      <c r="A23" s="9"/>
      <c r="B23" s="9"/>
      <c r="C23" s="6"/>
      <c r="D23" s="6"/>
      <c r="E23" s="6"/>
      <c r="F23" s="6"/>
      <c r="G23" s="6"/>
      <c r="H23" s="6"/>
      <c r="I23" s="6"/>
      <c r="J23" s="6"/>
    </row>
    <row r="24" ht="18" customHeight="1" spans="1:10">
      <c r="A24" s="9"/>
      <c r="B24" s="9"/>
      <c r="C24" s="6"/>
      <c r="D24" s="6"/>
      <c r="E24" s="6"/>
      <c r="F24" s="6"/>
      <c r="G24" s="6"/>
      <c r="H24" s="6"/>
      <c r="I24" s="6"/>
      <c r="J24" s="6"/>
    </row>
    <row r="26" ht="7.5" customHeight="1"/>
    <row r="27" ht="27.75" customHeight="1" spans="1:10">
      <c r="A27" s="11" t="s">
        <v>99</v>
      </c>
      <c r="B27" s="12" t="s">
        <v>100</v>
      </c>
      <c r="C27" s="12"/>
      <c r="D27" s="12"/>
      <c r="E27" s="12"/>
      <c r="F27" s="12"/>
      <c r="G27" s="12"/>
      <c r="H27" s="12"/>
      <c r="I27" s="12"/>
      <c r="J27" s="12"/>
    </row>
    <row r="28" ht="18" customHeight="1" spans="1:10">
      <c r="A28" s="11"/>
      <c r="B28" s="6" t="s">
        <v>101</v>
      </c>
      <c r="C28" s="6"/>
      <c r="D28" s="6"/>
      <c r="E28" s="6"/>
      <c r="F28" s="6"/>
      <c r="G28" s="6"/>
      <c r="H28" s="6"/>
      <c r="I28" s="6"/>
      <c r="J28" s="6"/>
    </row>
    <row r="29" ht="18" customHeight="1" spans="1:10">
      <c r="A29" s="11"/>
      <c r="B29" s="11"/>
      <c r="C29" s="6"/>
      <c r="D29" s="6"/>
      <c r="E29" s="6"/>
      <c r="F29" s="6"/>
      <c r="G29" s="6"/>
      <c r="H29" s="6"/>
      <c r="I29" s="6"/>
      <c r="J29" s="6"/>
    </row>
    <row r="30" ht="18" customHeight="1" spans="1:10">
      <c r="A30" s="11"/>
      <c r="B30" s="11"/>
      <c r="C30" s="6"/>
      <c r="D30" s="6"/>
      <c r="E30" s="6"/>
      <c r="F30" s="6"/>
      <c r="G30" s="6"/>
      <c r="H30" s="6"/>
      <c r="I30" s="6"/>
      <c r="J30" s="6"/>
    </row>
    <row r="31" ht="18" customHeight="1" spans="1:10">
      <c r="A31" s="11"/>
      <c r="B31" s="11"/>
      <c r="C31" s="6"/>
      <c r="D31" s="6"/>
      <c r="E31" s="6"/>
      <c r="F31" s="6"/>
      <c r="G31" s="6"/>
      <c r="H31" s="6"/>
      <c r="I31" s="6"/>
      <c r="J31" s="6"/>
    </row>
    <row r="33" ht="7.5" customHeight="1"/>
    <row r="34" ht="27.75" customHeight="1" spans="1:11">
      <c r="A34" s="13" t="s">
        <v>102</v>
      </c>
      <c r="B34" s="14" t="s">
        <v>103</v>
      </c>
      <c r="C34" s="14"/>
      <c r="D34" s="14"/>
      <c r="E34" s="14"/>
      <c r="F34" s="14"/>
      <c r="G34" s="14"/>
      <c r="H34" s="14"/>
      <c r="I34" s="14"/>
      <c r="J34" s="14"/>
    </row>
    <row r="35" ht="18" customHeight="1" spans="1:11">
      <c r="A35" s="13"/>
      <c r="B35" s="6" t="s">
        <v>104</v>
      </c>
      <c r="C35" s="6"/>
      <c r="D35" s="6"/>
      <c r="E35" s="6"/>
      <c r="F35" s="6"/>
      <c r="G35" s="6"/>
      <c r="H35" s="6"/>
      <c r="I35" s="6"/>
      <c r="J35" s="6"/>
    </row>
    <row r="36" ht="18" customHeight="1" spans="1:11">
      <c r="A36" s="13"/>
      <c r="B36" s="13"/>
      <c r="C36" s="6"/>
      <c r="D36" s="6"/>
      <c r="E36" s="6"/>
      <c r="F36" s="6"/>
      <c r="G36" s="6"/>
      <c r="H36" s="6"/>
      <c r="I36" s="6"/>
      <c r="J36" s="6"/>
    </row>
    <row r="37" ht="18" customHeight="1" spans="1:11">
      <c r="A37" s="13"/>
      <c r="B37" s="13"/>
      <c r="C37" s="6"/>
      <c r="D37" s="6"/>
      <c r="E37" s="6"/>
      <c r="F37" s="6"/>
      <c r="G37" s="6"/>
      <c r="H37" s="6"/>
      <c r="I37" s="6"/>
      <c r="J37" s="6"/>
    </row>
    <row r="38" ht="18" customHeight="1" spans="1:11">
      <c r="A38" s="13"/>
      <c r="B38" s="13"/>
      <c r="C38" s="6"/>
      <c r="D38" s="6"/>
      <c r="E38" s="6"/>
      <c r="F38" s="6"/>
      <c r="G38" s="6"/>
      <c r="H38" s="6"/>
      <c r="I38" s="6"/>
      <c r="J38" s="6"/>
    </row>
    <row r="41" ht="12" customHeight="1"/>
    <row r="42" ht="18" customHeight="1" spans="1:11">
      <c r="A42" s="15" t="s">
        <v>105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</sheetData>
  <mergeCells count="19">
    <mergeCell ref="A1:K1"/>
    <mergeCell ref="A2:K2"/>
    <mergeCell ref="A4:K4"/>
    <mergeCell ref="B6:J6"/>
    <mergeCell ref="B13:J13"/>
    <mergeCell ref="B20:J20"/>
    <mergeCell ref="B27:J27"/>
    <mergeCell ref="B34:J34"/>
    <mergeCell ref="A42:K42"/>
    <mergeCell ref="A6:A10"/>
    <mergeCell ref="A13:A17"/>
    <mergeCell ref="A20:A24"/>
    <mergeCell ref="A27:A31"/>
    <mergeCell ref="A34:A38"/>
    <mergeCell ref="B7:J10"/>
    <mergeCell ref="B14:J17"/>
    <mergeCell ref="B21:J24"/>
    <mergeCell ref="B28:J31"/>
    <mergeCell ref="B35:J3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Pivot Analysis</vt:lpstr>
      <vt:lpstr>KPI Tracker</vt:lpstr>
      <vt:lpstr>Dashboard</vt:lpstr>
      <vt:lpstr>Insight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2026-06-28T17:00:00Z</dcterms:created>
  <dcterms:modified xsi:type="dcterms:W3CDTF">2026-06-29T08:54:12Z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E2691987C0ED4B1EB421D045E150A28A_12</vt:lpwstr>
  </property>
</Properties>
</file>